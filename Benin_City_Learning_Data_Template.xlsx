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pp\"/>
    </mc:Choice>
  </mc:AlternateContent>
  <xr:revisionPtr revIDLastSave="0" documentId="8_{191D4D38-8B57-4851-ACF6-6BDA7D2672A7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README" sheetId="1" r:id="rId1"/>
    <sheet name="Dashboard" sheetId="2" r:id="rId2"/>
    <sheet name="Headline" sheetId="3" r:id="rId3"/>
    <sheet name="LQ1_Experience" sheetId="4" r:id="rId4"/>
    <sheet name="LQ2_Funnel" sheetId="5" r:id="rId5"/>
    <sheet name="LQ3_Satisfaction" sheetId="6" r:id="rId6"/>
    <sheet name="LQ4_Unassisted" sheetId="7" r:id="rId7"/>
    <sheet name="LQ5_Staffing" sheetId="8" r:id="rId8"/>
    <sheet name="LQ6_Location" sheetId="9" r:id="rId9"/>
    <sheet name="LQ7_Methods" sheetId="10" r:id="rId10"/>
    <sheet name="LQ8_Cost" sheetId="11" r:id="rId11"/>
    <sheet name="LQ9_SBC" sheetId="12" r:id="rId12"/>
    <sheet name="LQ10_DHIS2" sheetId="13" r:id="rId13"/>
    <sheet name="LQ11_Sustain" sheetId="14" r:id="rId14"/>
    <sheet name="Register" sheetId="15" r:id="rId15"/>
    <sheet name="Settings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14" l="1"/>
  <c r="F16" i="14"/>
  <c r="F15" i="14"/>
  <c r="J14" i="14"/>
  <c r="F14" i="14"/>
  <c r="J13" i="14"/>
  <c r="F13" i="14"/>
  <c r="J12" i="14"/>
  <c r="F12" i="14"/>
  <c r="J11" i="14"/>
  <c r="F11" i="14"/>
  <c r="J10" i="14"/>
  <c r="F10" i="14"/>
  <c r="J9" i="14"/>
  <c r="F9" i="14"/>
  <c r="F8" i="14"/>
  <c r="J7" i="14"/>
  <c r="F7" i="14"/>
  <c r="J6" i="14"/>
  <c r="F6" i="14"/>
  <c r="K17" i="13"/>
  <c r="J17" i="13"/>
  <c r="E17" i="13"/>
  <c r="I17" i="13" s="1"/>
  <c r="B17" i="13"/>
  <c r="K16" i="13"/>
  <c r="J16" i="13"/>
  <c r="E16" i="13"/>
  <c r="I16" i="13" s="1"/>
  <c r="B16" i="13"/>
  <c r="K15" i="13"/>
  <c r="J15" i="13"/>
  <c r="E15" i="13"/>
  <c r="I15" i="13" s="1"/>
  <c r="B15" i="13"/>
  <c r="K14" i="13"/>
  <c r="J14" i="13"/>
  <c r="E14" i="13"/>
  <c r="I14" i="13" s="1"/>
  <c r="B14" i="13"/>
  <c r="K13" i="13"/>
  <c r="J13" i="13"/>
  <c r="E13" i="13"/>
  <c r="I13" i="13" s="1"/>
  <c r="B13" i="13"/>
  <c r="K12" i="13"/>
  <c r="J12" i="13"/>
  <c r="E12" i="13"/>
  <c r="I12" i="13" s="1"/>
  <c r="B12" i="13"/>
  <c r="K11" i="13"/>
  <c r="J11" i="13"/>
  <c r="E11" i="13"/>
  <c r="I11" i="13" s="1"/>
  <c r="B11" i="13"/>
  <c r="K10" i="13"/>
  <c r="J10" i="13"/>
  <c r="E10" i="13"/>
  <c r="I10" i="13" s="1"/>
  <c r="B10" i="13"/>
  <c r="K9" i="13"/>
  <c r="J9" i="13"/>
  <c r="E9" i="13"/>
  <c r="I9" i="13" s="1"/>
  <c r="B9" i="13"/>
  <c r="K8" i="13"/>
  <c r="J8" i="13"/>
  <c r="E8" i="13"/>
  <c r="I8" i="13" s="1"/>
  <c r="B8" i="13"/>
  <c r="K7" i="13"/>
  <c r="J7" i="13"/>
  <c r="E7" i="13"/>
  <c r="I7" i="13" s="1"/>
  <c r="B7" i="13"/>
  <c r="K6" i="13"/>
  <c r="J6" i="13"/>
  <c r="E6" i="13"/>
  <c r="I6" i="13" s="1"/>
  <c r="B6" i="13"/>
  <c r="G205" i="12"/>
  <c r="B205" i="12"/>
  <c r="G204" i="12"/>
  <c r="B204" i="12"/>
  <c r="G203" i="12"/>
  <c r="B203" i="12"/>
  <c r="G202" i="12"/>
  <c r="B202" i="12"/>
  <c r="G201" i="12"/>
  <c r="B201" i="12"/>
  <c r="G200" i="12"/>
  <c r="B200" i="12"/>
  <c r="G199" i="12"/>
  <c r="B199" i="12"/>
  <c r="G198" i="12"/>
  <c r="B198" i="12"/>
  <c r="G197" i="12"/>
  <c r="B197" i="12"/>
  <c r="G196" i="12"/>
  <c r="B196" i="12"/>
  <c r="G195" i="12"/>
  <c r="B195" i="12"/>
  <c r="G194" i="12"/>
  <c r="B194" i="12"/>
  <c r="G193" i="12"/>
  <c r="B193" i="12"/>
  <c r="G192" i="12"/>
  <c r="B192" i="12"/>
  <c r="G191" i="12"/>
  <c r="B191" i="12"/>
  <c r="G190" i="12"/>
  <c r="B190" i="12"/>
  <c r="G189" i="12"/>
  <c r="B189" i="12"/>
  <c r="G188" i="12"/>
  <c r="B188" i="12"/>
  <c r="G187" i="12"/>
  <c r="B187" i="12"/>
  <c r="G186" i="12"/>
  <c r="B186" i="12"/>
  <c r="G185" i="12"/>
  <c r="B185" i="12"/>
  <c r="G184" i="12"/>
  <c r="B184" i="12"/>
  <c r="G183" i="12"/>
  <c r="B183" i="12"/>
  <c r="G182" i="12"/>
  <c r="B182" i="12"/>
  <c r="G181" i="12"/>
  <c r="B181" i="12"/>
  <c r="G180" i="12"/>
  <c r="B180" i="12"/>
  <c r="G179" i="12"/>
  <c r="B179" i="12"/>
  <c r="G178" i="12"/>
  <c r="B178" i="12"/>
  <c r="G177" i="12"/>
  <c r="B177" i="12"/>
  <c r="G176" i="12"/>
  <c r="B176" i="12"/>
  <c r="G175" i="12"/>
  <c r="B175" i="12"/>
  <c r="G174" i="12"/>
  <c r="B174" i="12"/>
  <c r="G173" i="12"/>
  <c r="B173" i="12"/>
  <c r="G172" i="12"/>
  <c r="B172" i="12"/>
  <c r="G171" i="12"/>
  <c r="B171" i="12"/>
  <c r="G170" i="12"/>
  <c r="B170" i="12"/>
  <c r="G169" i="12"/>
  <c r="B169" i="12"/>
  <c r="G168" i="12"/>
  <c r="B168" i="12"/>
  <c r="G167" i="12"/>
  <c r="B167" i="12"/>
  <c r="G166" i="12"/>
  <c r="B166" i="12"/>
  <c r="G165" i="12"/>
  <c r="B165" i="12"/>
  <c r="G164" i="12"/>
  <c r="B164" i="12"/>
  <c r="G163" i="12"/>
  <c r="B163" i="12"/>
  <c r="G162" i="12"/>
  <c r="B162" i="12"/>
  <c r="G161" i="12"/>
  <c r="B161" i="12"/>
  <c r="G160" i="12"/>
  <c r="B160" i="12"/>
  <c r="G159" i="12"/>
  <c r="B159" i="12"/>
  <c r="G158" i="12"/>
  <c r="B158" i="12"/>
  <c r="G157" i="12"/>
  <c r="B157" i="12"/>
  <c r="G156" i="12"/>
  <c r="B156" i="12"/>
  <c r="G155" i="12"/>
  <c r="B155" i="12"/>
  <c r="G154" i="12"/>
  <c r="B154" i="12"/>
  <c r="G153" i="12"/>
  <c r="B153" i="12"/>
  <c r="G152" i="12"/>
  <c r="B152" i="12"/>
  <c r="G151" i="12"/>
  <c r="B151" i="12"/>
  <c r="G150" i="12"/>
  <c r="B150" i="12"/>
  <c r="G149" i="12"/>
  <c r="B149" i="12"/>
  <c r="G148" i="12"/>
  <c r="B148" i="12"/>
  <c r="G147" i="12"/>
  <c r="B147" i="12"/>
  <c r="G146" i="12"/>
  <c r="B146" i="12"/>
  <c r="G145" i="12"/>
  <c r="B145" i="12"/>
  <c r="G144" i="12"/>
  <c r="B144" i="12"/>
  <c r="G143" i="12"/>
  <c r="B143" i="12"/>
  <c r="G142" i="12"/>
  <c r="B142" i="12"/>
  <c r="G141" i="12"/>
  <c r="B141" i="12"/>
  <c r="G140" i="12"/>
  <c r="B140" i="12"/>
  <c r="G139" i="12"/>
  <c r="B139" i="12"/>
  <c r="G138" i="12"/>
  <c r="B138" i="12"/>
  <c r="G137" i="12"/>
  <c r="B137" i="12"/>
  <c r="G136" i="12"/>
  <c r="B136" i="12"/>
  <c r="G135" i="12"/>
  <c r="B135" i="12"/>
  <c r="G134" i="12"/>
  <c r="B134" i="12"/>
  <c r="G133" i="12"/>
  <c r="B133" i="12"/>
  <c r="G132" i="12"/>
  <c r="B132" i="12"/>
  <c r="G131" i="12"/>
  <c r="B131" i="12"/>
  <c r="G130" i="12"/>
  <c r="B130" i="12"/>
  <c r="G129" i="12"/>
  <c r="B129" i="12"/>
  <c r="G128" i="12"/>
  <c r="B128" i="12"/>
  <c r="G127" i="12"/>
  <c r="B127" i="12"/>
  <c r="G126" i="12"/>
  <c r="B126" i="12"/>
  <c r="G125" i="12"/>
  <c r="B125" i="12"/>
  <c r="G124" i="12"/>
  <c r="B124" i="12"/>
  <c r="G123" i="12"/>
  <c r="B123" i="12"/>
  <c r="G122" i="12"/>
  <c r="B122" i="12"/>
  <c r="G121" i="12"/>
  <c r="B121" i="12"/>
  <c r="G120" i="12"/>
  <c r="B120" i="12"/>
  <c r="G119" i="12"/>
  <c r="B119" i="12"/>
  <c r="G118" i="12"/>
  <c r="B118" i="12"/>
  <c r="G117" i="12"/>
  <c r="B117" i="12"/>
  <c r="G116" i="12"/>
  <c r="B116" i="12"/>
  <c r="G115" i="12"/>
  <c r="B115" i="12"/>
  <c r="G114" i="12"/>
  <c r="B114" i="12"/>
  <c r="G113" i="12"/>
  <c r="B113" i="12"/>
  <c r="G112" i="12"/>
  <c r="B112" i="12"/>
  <c r="G111" i="12"/>
  <c r="B111" i="12"/>
  <c r="G110" i="12"/>
  <c r="B110" i="12"/>
  <c r="G109" i="12"/>
  <c r="B109" i="12"/>
  <c r="G108" i="12"/>
  <c r="B108" i="12"/>
  <c r="G107" i="12"/>
  <c r="B107" i="12"/>
  <c r="G106" i="12"/>
  <c r="B106" i="12"/>
  <c r="G105" i="12"/>
  <c r="B105" i="12"/>
  <c r="G104" i="12"/>
  <c r="B104" i="12"/>
  <c r="G103" i="12"/>
  <c r="B103" i="12"/>
  <c r="G102" i="12"/>
  <c r="B102" i="12"/>
  <c r="G101" i="12"/>
  <c r="B101" i="12"/>
  <c r="G100" i="12"/>
  <c r="B100" i="12"/>
  <c r="G99" i="12"/>
  <c r="B99" i="12"/>
  <c r="G98" i="12"/>
  <c r="B98" i="12"/>
  <c r="G97" i="12"/>
  <c r="B97" i="12"/>
  <c r="G96" i="12"/>
  <c r="B96" i="12"/>
  <c r="G95" i="12"/>
  <c r="B95" i="12"/>
  <c r="G94" i="12"/>
  <c r="B94" i="12"/>
  <c r="G93" i="12"/>
  <c r="B93" i="12"/>
  <c r="G92" i="12"/>
  <c r="B92" i="12"/>
  <c r="G91" i="12"/>
  <c r="B91" i="12"/>
  <c r="G90" i="12"/>
  <c r="B90" i="12"/>
  <c r="G89" i="12"/>
  <c r="B89" i="12"/>
  <c r="G88" i="12"/>
  <c r="B88" i="12"/>
  <c r="G87" i="12"/>
  <c r="B87" i="12"/>
  <c r="G86" i="12"/>
  <c r="B86" i="12"/>
  <c r="G85" i="12"/>
  <c r="B85" i="12"/>
  <c r="G84" i="12"/>
  <c r="B84" i="12"/>
  <c r="G83" i="12"/>
  <c r="B83" i="12"/>
  <c r="G82" i="12"/>
  <c r="B82" i="12"/>
  <c r="G81" i="12"/>
  <c r="B81" i="12"/>
  <c r="G80" i="12"/>
  <c r="B80" i="12"/>
  <c r="G79" i="12"/>
  <c r="B79" i="12"/>
  <c r="G78" i="12"/>
  <c r="B78" i="12"/>
  <c r="G77" i="12"/>
  <c r="B77" i="12"/>
  <c r="G76" i="12"/>
  <c r="B76" i="12"/>
  <c r="G75" i="12"/>
  <c r="B75" i="12"/>
  <c r="G74" i="12"/>
  <c r="B74" i="12"/>
  <c r="G73" i="12"/>
  <c r="B73" i="12"/>
  <c r="G72" i="12"/>
  <c r="B72" i="12"/>
  <c r="G71" i="12"/>
  <c r="B71" i="12"/>
  <c r="G70" i="12"/>
  <c r="B70" i="12"/>
  <c r="G69" i="12"/>
  <c r="B69" i="12"/>
  <c r="G68" i="12"/>
  <c r="B68" i="12"/>
  <c r="G67" i="12"/>
  <c r="B67" i="12"/>
  <c r="G66" i="12"/>
  <c r="B66" i="12"/>
  <c r="G65" i="12"/>
  <c r="B65" i="12"/>
  <c r="G64" i="12"/>
  <c r="B64" i="12"/>
  <c r="G63" i="12"/>
  <c r="B63" i="12"/>
  <c r="G62" i="12"/>
  <c r="B62" i="12"/>
  <c r="G61" i="12"/>
  <c r="B61" i="12"/>
  <c r="G60" i="12"/>
  <c r="B60" i="12"/>
  <c r="G59" i="12"/>
  <c r="B59" i="12"/>
  <c r="G58" i="12"/>
  <c r="B58" i="12"/>
  <c r="G57" i="12"/>
  <c r="B57" i="12"/>
  <c r="G56" i="12"/>
  <c r="B56" i="12"/>
  <c r="G55" i="12"/>
  <c r="B55" i="12"/>
  <c r="G54" i="12"/>
  <c r="B54" i="12"/>
  <c r="G53" i="12"/>
  <c r="B53" i="12"/>
  <c r="G52" i="12"/>
  <c r="B52" i="12"/>
  <c r="G51" i="12"/>
  <c r="B51" i="12"/>
  <c r="G50" i="12"/>
  <c r="B50" i="12"/>
  <c r="G49" i="12"/>
  <c r="B49" i="12"/>
  <c r="G48" i="12"/>
  <c r="B48" i="12"/>
  <c r="G47" i="12"/>
  <c r="B47" i="12"/>
  <c r="G46" i="12"/>
  <c r="B46" i="12"/>
  <c r="G45" i="12"/>
  <c r="B45" i="12"/>
  <c r="G44" i="12"/>
  <c r="B44" i="12"/>
  <c r="G43" i="12"/>
  <c r="B43" i="12"/>
  <c r="G42" i="12"/>
  <c r="B42" i="12"/>
  <c r="G41" i="12"/>
  <c r="B41" i="12"/>
  <c r="G40" i="12"/>
  <c r="B40" i="12"/>
  <c r="G39" i="12"/>
  <c r="B39" i="12"/>
  <c r="G38" i="12"/>
  <c r="B38" i="12"/>
  <c r="G37" i="12"/>
  <c r="B37" i="12"/>
  <c r="G36" i="12"/>
  <c r="B36" i="12"/>
  <c r="G35" i="12"/>
  <c r="B35" i="12"/>
  <c r="G34" i="12"/>
  <c r="B34" i="12"/>
  <c r="G33" i="12"/>
  <c r="B33" i="12"/>
  <c r="G32" i="12"/>
  <c r="B32" i="12"/>
  <c r="G31" i="12"/>
  <c r="B31" i="12"/>
  <c r="G30" i="12"/>
  <c r="B30" i="12"/>
  <c r="G29" i="12"/>
  <c r="B29" i="12"/>
  <c r="G28" i="12"/>
  <c r="B28" i="12"/>
  <c r="G27" i="12"/>
  <c r="B27" i="12"/>
  <c r="G26" i="12"/>
  <c r="B26" i="12"/>
  <c r="G25" i="12"/>
  <c r="B25" i="12"/>
  <c r="G24" i="12"/>
  <c r="B24" i="12"/>
  <c r="G23" i="12"/>
  <c r="B23" i="12"/>
  <c r="I22" i="12"/>
  <c r="G22" i="12"/>
  <c r="B22" i="12"/>
  <c r="I21" i="12"/>
  <c r="G21" i="12"/>
  <c r="B21" i="12"/>
  <c r="I20" i="12"/>
  <c r="G20" i="12"/>
  <c r="B20" i="12"/>
  <c r="I19" i="12"/>
  <c r="G19" i="12"/>
  <c r="B19" i="12"/>
  <c r="I18" i="12"/>
  <c r="G18" i="12"/>
  <c r="B18" i="12"/>
  <c r="I17" i="12"/>
  <c r="G17" i="12"/>
  <c r="B17" i="12"/>
  <c r="I16" i="12"/>
  <c r="G16" i="12"/>
  <c r="B16" i="12"/>
  <c r="M15" i="12"/>
  <c r="L15" i="12"/>
  <c r="K15" i="12"/>
  <c r="J15" i="12"/>
  <c r="G15" i="12"/>
  <c r="B15" i="12"/>
  <c r="G14" i="12"/>
  <c r="B14" i="12"/>
  <c r="G13" i="12"/>
  <c r="B13" i="12"/>
  <c r="I12" i="12"/>
  <c r="G12" i="12"/>
  <c r="B12" i="12"/>
  <c r="I11" i="12"/>
  <c r="G11" i="12"/>
  <c r="B11" i="12"/>
  <c r="I10" i="12"/>
  <c r="G10" i="12"/>
  <c r="B10" i="12"/>
  <c r="I9" i="12"/>
  <c r="G9" i="12"/>
  <c r="B9" i="12"/>
  <c r="I8" i="12"/>
  <c r="G8" i="12"/>
  <c r="B8" i="12"/>
  <c r="I7" i="12"/>
  <c r="G7" i="12"/>
  <c r="B7" i="12"/>
  <c r="I6" i="12"/>
  <c r="G6" i="12"/>
  <c r="B6" i="12"/>
  <c r="G17" i="11"/>
  <c r="B17" i="11"/>
  <c r="G16" i="11"/>
  <c r="B16" i="11"/>
  <c r="G15" i="11"/>
  <c r="B15" i="11"/>
  <c r="G14" i="11"/>
  <c r="B14" i="11"/>
  <c r="G13" i="11"/>
  <c r="B13" i="11"/>
  <c r="G12" i="11"/>
  <c r="B12" i="11"/>
  <c r="G11" i="11"/>
  <c r="B11" i="11"/>
  <c r="G10" i="11"/>
  <c r="B10" i="11"/>
  <c r="G9" i="11"/>
  <c r="B9" i="11"/>
  <c r="G8" i="11"/>
  <c r="B8" i="11"/>
  <c r="G7" i="11"/>
  <c r="B7" i="11"/>
  <c r="G6" i="11"/>
  <c r="B6" i="11"/>
  <c r="F105" i="10"/>
  <c r="B105" i="10"/>
  <c r="F104" i="10"/>
  <c r="B104" i="10"/>
  <c r="F103" i="10"/>
  <c r="B103" i="10"/>
  <c r="F102" i="10"/>
  <c r="B102" i="10"/>
  <c r="F101" i="10"/>
  <c r="B101" i="10"/>
  <c r="F100" i="10"/>
  <c r="B100" i="10"/>
  <c r="F99" i="10"/>
  <c r="B99" i="10"/>
  <c r="F98" i="10"/>
  <c r="B98" i="10"/>
  <c r="F97" i="10"/>
  <c r="B97" i="10"/>
  <c r="F96" i="10"/>
  <c r="B96" i="10"/>
  <c r="F95" i="10"/>
  <c r="B95" i="10"/>
  <c r="F94" i="10"/>
  <c r="B94" i="10"/>
  <c r="F93" i="10"/>
  <c r="B93" i="10"/>
  <c r="F92" i="10"/>
  <c r="B92" i="10"/>
  <c r="F91" i="10"/>
  <c r="B91" i="10"/>
  <c r="F90" i="10"/>
  <c r="B90" i="10"/>
  <c r="F89" i="10"/>
  <c r="B89" i="10"/>
  <c r="F88" i="10"/>
  <c r="B88" i="10"/>
  <c r="F87" i="10"/>
  <c r="B87" i="10"/>
  <c r="F86" i="10"/>
  <c r="B86" i="10"/>
  <c r="F85" i="10"/>
  <c r="B85" i="10"/>
  <c r="F84" i="10"/>
  <c r="B84" i="10"/>
  <c r="F83" i="10"/>
  <c r="B83" i="10"/>
  <c r="F82" i="10"/>
  <c r="B82" i="10"/>
  <c r="F81" i="10"/>
  <c r="B81" i="10"/>
  <c r="F80" i="10"/>
  <c r="B80" i="10"/>
  <c r="F79" i="10"/>
  <c r="B79" i="10"/>
  <c r="F78" i="10"/>
  <c r="B78" i="10"/>
  <c r="F77" i="10"/>
  <c r="B77" i="10"/>
  <c r="F76" i="10"/>
  <c r="B76" i="10"/>
  <c r="F75" i="10"/>
  <c r="B75" i="10"/>
  <c r="F74" i="10"/>
  <c r="B74" i="10"/>
  <c r="F73" i="10"/>
  <c r="B73" i="10"/>
  <c r="F72" i="10"/>
  <c r="B72" i="10"/>
  <c r="F71" i="10"/>
  <c r="B71" i="10"/>
  <c r="F70" i="10"/>
  <c r="B70" i="10"/>
  <c r="F69" i="10"/>
  <c r="B69" i="10"/>
  <c r="F68" i="10"/>
  <c r="B68" i="10"/>
  <c r="F67" i="10"/>
  <c r="B67" i="10"/>
  <c r="F66" i="10"/>
  <c r="B66" i="10"/>
  <c r="F65" i="10"/>
  <c r="B65" i="10"/>
  <c r="F64" i="10"/>
  <c r="B64" i="10"/>
  <c r="F63" i="10"/>
  <c r="B63" i="10"/>
  <c r="F62" i="10"/>
  <c r="B62" i="10"/>
  <c r="F61" i="10"/>
  <c r="B61" i="10"/>
  <c r="F60" i="10"/>
  <c r="B60" i="10"/>
  <c r="F59" i="10"/>
  <c r="B59" i="10"/>
  <c r="F58" i="10"/>
  <c r="B58" i="10"/>
  <c r="F57" i="10"/>
  <c r="B57" i="10"/>
  <c r="F56" i="10"/>
  <c r="B56" i="10"/>
  <c r="F55" i="10"/>
  <c r="B55" i="10"/>
  <c r="F54" i="10"/>
  <c r="B54" i="10"/>
  <c r="F53" i="10"/>
  <c r="B53" i="10"/>
  <c r="F52" i="10"/>
  <c r="B52" i="10"/>
  <c r="F51" i="10"/>
  <c r="B51" i="10"/>
  <c r="F50" i="10"/>
  <c r="B50" i="10"/>
  <c r="F49" i="10"/>
  <c r="B49" i="10"/>
  <c r="F48" i="10"/>
  <c r="B48" i="10"/>
  <c r="F47" i="10"/>
  <c r="B47" i="10"/>
  <c r="F46" i="10"/>
  <c r="B46" i="10"/>
  <c r="F45" i="10"/>
  <c r="B45" i="10"/>
  <c r="F44" i="10"/>
  <c r="B44" i="10"/>
  <c r="F43" i="10"/>
  <c r="B43" i="10"/>
  <c r="F42" i="10"/>
  <c r="B42" i="10"/>
  <c r="F41" i="10"/>
  <c r="B41" i="10"/>
  <c r="F40" i="10"/>
  <c r="B40" i="10"/>
  <c r="F39" i="10"/>
  <c r="B39" i="10"/>
  <c r="F38" i="10"/>
  <c r="B38" i="10"/>
  <c r="F37" i="10"/>
  <c r="B37" i="10"/>
  <c r="F36" i="10"/>
  <c r="B36" i="10"/>
  <c r="F35" i="10"/>
  <c r="B35" i="10"/>
  <c r="F34" i="10"/>
  <c r="B34" i="10"/>
  <c r="F33" i="10"/>
  <c r="B33" i="10"/>
  <c r="F32" i="10"/>
  <c r="B32" i="10"/>
  <c r="F31" i="10"/>
  <c r="B31" i="10"/>
  <c r="F30" i="10"/>
  <c r="B30" i="10"/>
  <c r="F29" i="10"/>
  <c r="B29" i="10"/>
  <c r="F28" i="10"/>
  <c r="B28" i="10"/>
  <c r="F27" i="10"/>
  <c r="B27" i="10"/>
  <c r="F26" i="10"/>
  <c r="B26" i="10"/>
  <c r="F25" i="10"/>
  <c r="B25" i="10"/>
  <c r="F24" i="10"/>
  <c r="B24" i="10"/>
  <c r="F23" i="10"/>
  <c r="B23" i="10"/>
  <c r="L22" i="10"/>
  <c r="M22" i="10" s="1"/>
  <c r="F22" i="10"/>
  <c r="B22" i="10"/>
  <c r="L21" i="10"/>
  <c r="M21" i="10" s="1"/>
  <c r="F21" i="10"/>
  <c r="B21" i="10"/>
  <c r="L20" i="10"/>
  <c r="M20" i="10" s="1"/>
  <c r="F20" i="10"/>
  <c r="B20" i="10"/>
  <c r="L19" i="10"/>
  <c r="M19" i="10" s="1"/>
  <c r="F19" i="10"/>
  <c r="B19" i="10"/>
  <c r="L18" i="10"/>
  <c r="M18" i="10" s="1"/>
  <c r="F18" i="10"/>
  <c r="B18" i="10"/>
  <c r="L17" i="10"/>
  <c r="M17" i="10" s="1"/>
  <c r="F17" i="10"/>
  <c r="B17" i="10"/>
  <c r="F16" i="10"/>
  <c r="B16" i="10"/>
  <c r="F15" i="10"/>
  <c r="B15" i="10"/>
  <c r="F14" i="10"/>
  <c r="B14" i="10"/>
  <c r="F13" i="10"/>
  <c r="B13" i="10"/>
  <c r="L12" i="10"/>
  <c r="F12" i="10"/>
  <c r="B12" i="10"/>
  <c r="L11" i="10"/>
  <c r="F11" i="10"/>
  <c r="B11" i="10"/>
  <c r="L10" i="10"/>
  <c r="F10" i="10"/>
  <c r="B10" i="10"/>
  <c r="L9" i="10"/>
  <c r="F9" i="10"/>
  <c r="B9" i="10"/>
  <c r="L8" i="10"/>
  <c r="F8" i="10"/>
  <c r="B8" i="10"/>
  <c r="L7" i="10"/>
  <c r="F7" i="10"/>
  <c r="B7" i="10"/>
  <c r="L6" i="10"/>
  <c r="F6" i="10"/>
  <c r="B6" i="10"/>
  <c r="I205" i="9"/>
  <c r="H205" i="9"/>
  <c r="B205" i="9"/>
  <c r="I204" i="9"/>
  <c r="H204" i="9"/>
  <c r="B204" i="9"/>
  <c r="I203" i="9"/>
  <c r="H203" i="9"/>
  <c r="B203" i="9"/>
  <c r="I202" i="9"/>
  <c r="H202" i="9"/>
  <c r="B202" i="9"/>
  <c r="I201" i="9"/>
  <c r="H201" i="9"/>
  <c r="B201" i="9"/>
  <c r="I200" i="9"/>
  <c r="H200" i="9"/>
  <c r="B200" i="9"/>
  <c r="I199" i="9"/>
  <c r="H199" i="9"/>
  <c r="B199" i="9"/>
  <c r="I198" i="9"/>
  <c r="H198" i="9"/>
  <c r="B198" i="9"/>
  <c r="I197" i="9"/>
  <c r="H197" i="9"/>
  <c r="B197" i="9"/>
  <c r="I196" i="9"/>
  <c r="H196" i="9"/>
  <c r="B196" i="9"/>
  <c r="I195" i="9"/>
  <c r="H195" i="9"/>
  <c r="B195" i="9"/>
  <c r="I194" i="9"/>
  <c r="H194" i="9"/>
  <c r="B194" i="9"/>
  <c r="I193" i="9"/>
  <c r="H193" i="9"/>
  <c r="B193" i="9"/>
  <c r="I192" i="9"/>
  <c r="H192" i="9"/>
  <c r="B192" i="9"/>
  <c r="I191" i="9"/>
  <c r="H191" i="9"/>
  <c r="B191" i="9"/>
  <c r="I190" i="9"/>
  <c r="H190" i="9"/>
  <c r="B190" i="9"/>
  <c r="I189" i="9"/>
  <c r="H189" i="9"/>
  <c r="B189" i="9"/>
  <c r="I188" i="9"/>
  <c r="H188" i="9"/>
  <c r="B188" i="9"/>
  <c r="I187" i="9"/>
  <c r="H187" i="9"/>
  <c r="B187" i="9"/>
  <c r="I186" i="9"/>
  <c r="H186" i="9"/>
  <c r="B186" i="9"/>
  <c r="I185" i="9"/>
  <c r="H185" i="9"/>
  <c r="B185" i="9"/>
  <c r="I184" i="9"/>
  <c r="H184" i="9"/>
  <c r="B184" i="9"/>
  <c r="I183" i="9"/>
  <c r="H183" i="9"/>
  <c r="B183" i="9"/>
  <c r="I182" i="9"/>
  <c r="H182" i="9"/>
  <c r="B182" i="9"/>
  <c r="I181" i="9"/>
  <c r="H181" i="9"/>
  <c r="B181" i="9"/>
  <c r="I180" i="9"/>
  <c r="H180" i="9"/>
  <c r="B180" i="9"/>
  <c r="I179" i="9"/>
  <c r="H179" i="9"/>
  <c r="B179" i="9"/>
  <c r="I178" i="9"/>
  <c r="H178" i="9"/>
  <c r="B178" i="9"/>
  <c r="I177" i="9"/>
  <c r="H177" i="9"/>
  <c r="B177" i="9"/>
  <c r="I176" i="9"/>
  <c r="H176" i="9"/>
  <c r="B176" i="9"/>
  <c r="I175" i="9"/>
  <c r="H175" i="9"/>
  <c r="B175" i="9"/>
  <c r="I174" i="9"/>
  <c r="H174" i="9"/>
  <c r="B174" i="9"/>
  <c r="I173" i="9"/>
  <c r="H173" i="9"/>
  <c r="B173" i="9"/>
  <c r="I172" i="9"/>
  <c r="H172" i="9"/>
  <c r="B172" i="9"/>
  <c r="I171" i="9"/>
  <c r="H171" i="9"/>
  <c r="B171" i="9"/>
  <c r="I170" i="9"/>
  <c r="H170" i="9"/>
  <c r="B170" i="9"/>
  <c r="I169" i="9"/>
  <c r="H169" i="9"/>
  <c r="B169" i="9"/>
  <c r="I168" i="9"/>
  <c r="H168" i="9"/>
  <c r="B168" i="9"/>
  <c r="I167" i="9"/>
  <c r="H167" i="9"/>
  <c r="B167" i="9"/>
  <c r="I166" i="9"/>
  <c r="H166" i="9"/>
  <c r="B166" i="9"/>
  <c r="I165" i="9"/>
  <c r="H165" i="9"/>
  <c r="B165" i="9"/>
  <c r="I164" i="9"/>
  <c r="H164" i="9"/>
  <c r="B164" i="9"/>
  <c r="I163" i="9"/>
  <c r="H163" i="9"/>
  <c r="B163" i="9"/>
  <c r="I162" i="9"/>
  <c r="H162" i="9"/>
  <c r="B162" i="9"/>
  <c r="I161" i="9"/>
  <c r="H161" i="9"/>
  <c r="B161" i="9"/>
  <c r="I160" i="9"/>
  <c r="H160" i="9"/>
  <c r="B160" i="9"/>
  <c r="I159" i="9"/>
  <c r="H159" i="9"/>
  <c r="B159" i="9"/>
  <c r="I158" i="9"/>
  <c r="H158" i="9"/>
  <c r="B158" i="9"/>
  <c r="I157" i="9"/>
  <c r="H157" i="9"/>
  <c r="B157" i="9"/>
  <c r="I156" i="9"/>
  <c r="H156" i="9"/>
  <c r="B156" i="9"/>
  <c r="I155" i="9"/>
  <c r="H155" i="9"/>
  <c r="B155" i="9"/>
  <c r="I154" i="9"/>
  <c r="H154" i="9"/>
  <c r="B154" i="9"/>
  <c r="I153" i="9"/>
  <c r="H153" i="9"/>
  <c r="B153" i="9"/>
  <c r="I152" i="9"/>
  <c r="H152" i="9"/>
  <c r="B152" i="9"/>
  <c r="I151" i="9"/>
  <c r="H151" i="9"/>
  <c r="B151" i="9"/>
  <c r="I150" i="9"/>
  <c r="H150" i="9"/>
  <c r="B150" i="9"/>
  <c r="I149" i="9"/>
  <c r="H149" i="9"/>
  <c r="B149" i="9"/>
  <c r="I148" i="9"/>
  <c r="H148" i="9"/>
  <c r="B148" i="9"/>
  <c r="I147" i="9"/>
  <c r="H147" i="9"/>
  <c r="B147" i="9"/>
  <c r="I146" i="9"/>
  <c r="H146" i="9"/>
  <c r="B146" i="9"/>
  <c r="I145" i="9"/>
  <c r="H145" i="9"/>
  <c r="B145" i="9"/>
  <c r="I144" i="9"/>
  <c r="H144" i="9"/>
  <c r="B144" i="9"/>
  <c r="I143" i="9"/>
  <c r="H143" i="9"/>
  <c r="B143" i="9"/>
  <c r="I142" i="9"/>
  <c r="H142" i="9"/>
  <c r="B142" i="9"/>
  <c r="I141" i="9"/>
  <c r="H141" i="9"/>
  <c r="B141" i="9"/>
  <c r="I140" i="9"/>
  <c r="H140" i="9"/>
  <c r="B140" i="9"/>
  <c r="I139" i="9"/>
  <c r="H139" i="9"/>
  <c r="B139" i="9"/>
  <c r="I138" i="9"/>
  <c r="H138" i="9"/>
  <c r="B138" i="9"/>
  <c r="I137" i="9"/>
  <c r="H137" i="9"/>
  <c r="B137" i="9"/>
  <c r="I136" i="9"/>
  <c r="H136" i="9"/>
  <c r="B136" i="9"/>
  <c r="I135" i="9"/>
  <c r="H135" i="9"/>
  <c r="B135" i="9"/>
  <c r="I134" i="9"/>
  <c r="H134" i="9"/>
  <c r="B134" i="9"/>
  <c r="I133" i="9"/>
  <c r="H133" i="9"/>
  <c r="B133" i="9"/>
  <c r="I132" i="9"/>
  <c r="H132" i="9"/>
  <c r="B132" i="9"/>
  <c r="I131" i="9"/>
  <c r="H131" i="9"/>
  <c r="B131" i="9"/>
  <c r="I130" i="9"/>
  <c r="H130" i="9"/>
  <c r="B130" i="9"/>
  <c r="I129" i="9"/>
  <c r="H129" i="9"/>
  <c r="B129" i="9"/>
  <c r="I128" i="9"/>
  <c r="H128" i="9"/>
  <c r="B128" i="9"/>
  <c r="I127" i="9"/>
  <c r="H127" i="9"/>
  <c r="B127" i="9"/>
  <c r="I126" i="9"/>
  <c r="H126" i="9"/>
  <c r="B126" i="9"/>
  <c r="I125" i="9"/>
  <c r="H125" i="9"/>
  <c r="B125" i="9"/>
  <c r="I124" i="9"/>
  <c r="H124" i="9"/>
  <c r="B124" i="9"/>
  <c r="I123" i="9"/>
  <c r="H123" i="9"/>
  <c r="B123" i="9"/>
  <c r="I122" i="9"/>
  <c r="H122" i="9"/>
  <c r="B122" i="9"/>
  <c r="I121" i="9"/>
  <c r="H121" i="9"/>
  <c r="B121" i="9"/>
  <c r="I120" i="9"/>
  <c r="H120" i="9"/>
  <c r="B120" i="9"/>
  <c r="I119" i="9"/>
  <c r="H119" i="9"/>
  <c r="B119" i="9"/>
  <c r="I118" i="9"/>
  <c r="H118" i="9"/>
  <c r="B118" i="9"/>
  <c r="I117" i="9"/>
  <c r="H117" i="9"/>
  <c r="B117" i="9"/>
  <c r="I116" i="9"/>
  <c r="H116" i="9"/>
  <c r="B116" i="9"/>
  <c r="I115" i="9"/>
  <c r="H115" i="9"/>
  <c r="B115" i="9"/>
  <c r="I114" i="9"/>
  <c r="H114" i="9"/>
  <c r="B114" i="9"/>
  <c r="I113" i="9"/>
  <c r="H113" i="9"/>
  <c r="B113" i="9"/>
  <c r="I112" i="9"/>
  <c r="H112" i="9"/>
  <c r="B112" i="9"/>
  <c r="I111" i="9"/>
  <c r="H111" i="9"/>
  <c r="B111" i="9"/>
  <c r="I110" i="9"/>
  <c r="H110" i="9"/>
  <c r="B110" i="9"/>
  <c r="I109" i="9"/>
  <c r="H109" i="9"/>
  <c r="B109" i="9"/>
  <c r="I108" i="9"/>
  <c r="H108" i="9"/>
  <c r="B108" i="9"/>
  <c r="I107" i="9"/>
  <c r="H107" i="9"/>
  <c r="B107" i="9"/>
  <c r="I106" i="9"/>
  <c r="H106" i="9"/>
  <c r="B106" i="9"/>
  <c r="I105" i="9"/>
  <c r="H105" i="9"/>
  <c r="B105" i="9"/>
  <c r="I104" i="9"/>
  <c r="H104" i="9"/>
  <c r="B104" i="9"/>
  <c r="I103" i="9"/>
  <c r="H103" i="9"/>
  <c r="B103" i="9"/>
  <c r="I102" i="9"/>
  <c r="H102" i="9"/>
  <c r="B102" i="9"/>
  <c r="I101" i="9"/>
  <c r="H101" i="9"/>
  <c r="B101" i="9"/>
  <c r="I100" i="9"/>
  <c r="H100" i="9"/>
  <c r="B100" i="9"/>
  <c r="I99" i="9"/>
  <c r="H99" i="9"/>
  <c r="B99" i="9"/>
  <c r="I98" i="9"/>
  <c r="H98" i="9"/>
  <c r="B98" i="9"/>
  <c r="I97" i="9"/>
  <c r="H97" i="9"/>
  <c r="B97" i="9"/>
  <c r="I96" i="9"/>
  <c r="H96" i="9"/>
  <c r="B96" i="9"/>
  <c r="I95" i="9"/>
  <c r="H95" i="9"/>
  <c r="B95" i="9"/>
  <c r="I94" i="9"/>
  <c r="H94" i="9"/>
  <c r="B94" i="9"/>
  <c r="I93" i="9"/>
  <c r="H93" i="9"/>
  <c r="B93" i="9"/>
  <c r="I92" i="9"/>
  <c r="H92" i="9"/>
  <c r="B92" i="9"/>
  <c r="I91" i="9"/>
  <c r="H91" i="9"/>
  <c r="B91" i="9"/>
  <c r="I90" i="9"/>
  <c r="H90" i="9"/>
  <c r="B90" i="9"/>
  <c r="I89" i="9"/>
  <c r="H89" i="9"/>
  <c r="B89" i="9"/>
  <c r="I88" i="9"/>
  <c r="H88" i="9"/>
  <c r="B88" i="9"/>
  <c r="I87" i="9"/>
  <c r="H87" i="9"/>
  <c r="B87" i="9"/>
  <c r="I86" i="9"/>
  <c r="H86" i="9"/>
  <c r="B86" i="9"/>
  <c r="I85" i="9"/>
  <c r="H85" i="9"/>
  <c r="B85" i="9"/>
  <c r="I84" i="9"/>
  <c r="H84" i="9"/>
  <c r="B84" i="9"/>
  <c r="I83" i="9"/>
  <c r="H83" i="9"/>
  <c r="B83" i="9"/>
  <c r="I82" i="9"/>
  <c r="H82" i="9"/>
  <c r="B82" i="9"/>
  <c r="I81" i="9"/>
  <c r="H81" i="9"/>
  <c r="B81" i="9"/>
  <c r="I80" i="9"/>
  <c r="H80" i="9"/>
  <c r="B80" i="9"/>
  <c r="I79" i="9"/>
  <c r="H79" i="9"/>
  <c r="B79" i="9"/>
  <c r="I78" i="9"/>
  <c r="H78" i="9"/>
  <c r="B78" i="9"/>
  <c r="I77" i="9"/>
  <c r="H77" i="9"/>
  <c r="B77" i="9"/>
  <c r="I76" i="9"/>
  <c r="H76" i="9"/>
  <c r="B76" i="9"/>
  <c r="I75" i="9"/>
  <c r="H75" i="9"/>
  <c r="B75" i="9"/>
  <c r="I74" i="9"/>
  <c r="H74" i="9"/>
  <c r="B74" i="9"/>
  <c r="I73" i="9"/>
  <c r="H73" i="9"/>
  <c r="B73" i="9"/>
  <c r="I72" i="9"/>
  <c r="H72" i="9"/>
  <c r="B72" i="9"/>
  <c r="I71" i="9"/>
  <c r="H71" i="9"/>
  <c r="B71" i="9"/>
  <c r="I70" i="9"/>
  <c r="H70" i="9"/>
  <c r="B70" i="9"/>
  <c r="I69" i="9"/>
  <c r="H69" i="9"/>
  <c r="B69" i="9"/>
  <c r="I68" i="9"/>
  <c r="H68" i="9"/>
  <c r="B68" i="9"/>
  <c r="I67" i="9"/>
  <c r="H67" i="9"/>
  <c r="B67" i="9"/>
  <c r="I66" i="9"/>
  <c r="H66" i="9"/>
  <c r="B66" i="9"/>
  <c r="I65" i="9"/>
  <c r="H65" i="9"/>
  <c r="B65" i="9"/>
  <c r="I64" i="9"/>
  <c r="H64" i="9"/>
  <c r="B64" i="9"/>
  <c r="I63" i="9"/>
  <c r="H63" i="9"/>
  <c r="B63" i="9"/>
  <c r="I62" i="9"/>
  <c r="H62" i="9"/>
  <c r="B62" i="9"/>
  <c r="I61" i="9"/>
  <c r="H61" i="9"/>
  <c r="B61" i="9"/>
  <c r="I60" i="9"/>
  <c r="H60" i="9"/>
  <c r="B60" i="9"/>
  <c r="I59" i="9"/>
  <c r="H59" i="9"/>
  <c r="B59" i="9"/>
  <c r="I58" i="9"/>
  <c r="H58" i="9"/>
  <c r="B58" i="9"/>
  <c r="I57" i="9"/>
  <c r="H57" i="9"/>
  <c r="B57" i="9"/>
  <c r="I56" i="9"/>
  <c r="H56" i="9"/>
  <c r="B56" i="9"/>
  <c r="I55" i="9"/>
  <c r="H55" i="9"/>
  <c r="B55" i="9"/>
  <c r="I54" i="9"/>
  <c r="H54" i="9"/>
  <c r="B54" i="9"/>
  <c r="I53" i="9"/>
  <c r="H53" i="9"/>
  <c r="B53" i="9"/>
  <c r="I52" i="9"/>
  <c r="H52" i="9"/>
  <c r="B52" i="9"/>
  <c r="I51" i="9"/>
  <c r="H51" i="9"/>
  <c r="B51" i="9"/>
  <c r="I50" i="9"/>
  <c r="H50" i="9"/>
  <c r="B50" i="9"/>
  <c r="I49" i="9"/>
  <c r="H49" i="9"/>
  <c r="B49" i="9"/>
  <c r="I48" i="9"/>
  <c r="H48" i="9"/>
  <c r="B48" i="9"/>
  <c r="I47" i="9"/>
  <c r="H47" i="9"/>
  <c r="B47" i="9"/>
  <c r="I46" i="9"/>
  <c r="H46" i="9"/>
  <c r="B46" i="9"/>
  <c r="I45" i="9"/>
  <c r="H45" i="9"/>
  <c r="B45" i="9"/>
  <c r="I44" i="9"/>
  <c r="H44" i="9"/>
  <c r="B44" i="9"/>
  <c r="I43" i="9"/>
  <c r="H43" i="9"/>
  <c r="B43" i="9"/>
  <c r="I42" i="9"/>
  <c r="H42" i="9"/>
  <c r="B42" i="9"/>
  <c r="I41" i="9"/>
  <c r="H41" i="9"/>
  <c r="B41" i="9"/>
  <c r="I40" i="9"/>
  <c r="H40" i="9"/>
  <c r="B40" i="9"/>
  <c r="I39" i="9"/>
  <c r="H39" i="9"/>
  <c r="B39" i="9"/>
  <c r="I38" i="9"/>
  <c r="H38" i="9"/>
  <c r="B38" i="9"/>
  <c r="I37" i="9"/>
  <c r="H37" i="9"/>
  <c r="B37" i="9"/>
  <c r="I36" i="9"/>
  <c r="H36" i="9"/>
  <c r="B36" i="9"/>
  <c r="I35" i="9"/>
  <c r="H35" i="9"/>
  <c r="B35" i="9"/>
  <c r="I34" i="9"/>
  <c r="H34" i="9"/>
  <c r="B34" i="9"/>
  <c r="I33" i="9"/>
  <c r="H33" i="9"/>
  <c r="B33" i="9"/>
  <c r="I32" i="9"/>
  <c r="H32" i="9"/>
  <c r="B32" i="9"/>
  <c r="I31" i="9"/>
  <c r="H31" i="9"/>
  <c r="B31" i="9"/>
  <c r="I30" i="9"/>
  <c r="H30" i="9"/>
  <c r="B30" i="9"/>
  <c r="I29" i="9"/>
  <c r="H29" i="9"/>
  <c r="B29" i="9"/>
  <c r="I28" i="9"/>
  <c r="H28" i="9"/>
  <c r="B28" i="9"/>
  <c r="I27" i="9"/>
  <c r="H27" i="9"/>
  <c r="B27" i="9"/>
  <c r="I26" i="9"/>
  <c r="H26" i="9"/>
  <c r="B26" i="9"/>
  <c r="I25" i="9"/>
  <c r="H25" i="9"/>
  <c r="B25" i="9"/>
  <c r="I24" i="9"/>
  <c r="H24" i="9"/>
  <c r="B24" i="9"/>
  <c r="I23" i="9"/>
  <c r="H23" i="9"/>
  <c r="B23" i="9"/>
  <c r="I22" i="9"/>
  <c r="H22" i="9"/>
  <c r="B22" i="9"/>
  <c r="I21" i="9"/>
  <c r="H21" i="9"/>
  <c r="B21" i="9"/>
  <c r="I20" i="9"/>
  <c r="H20" i="9"/>
  <c r="B20" i="9"/>
  <c r="I19" i="9"/>
  <c r="H19" i="9"/>
  <c r="B19" i="9"/>
  <c r="I18" i="9"/>
  <c r="H18" i="9"/>
  <c r="B18" i="9"/>
  <c r="I17" i="9"/>
  <c r="H17" i="9"/>
  <c r="B17" i="9"/>
  <c r="I16" i="9"/>
  <c r="H16" i="9"/>
  <c r="B16" i="9"/>
  <c r="I15" i="9"/>
  <c r="H15" i="9"/>
  <c r="B15" i="9"/>
  <c r="I14" i="9"/>
  <c r="H14" i="9"/>
  <c r="B14" i="9"/>
  <c r="I13" i="9"/>
  <c r="H13" i="9"/>
  <c r="B13" i="9"/>
  <c r="I12" i="9"/>
  <c r="H12" i="9"/>
  <c r="B12" i="9"/>
  <c r="I11" i="9"/>
  <c r="H11" i="9"/>
  <c r="B11" i="9"/>
  <c r="I10" i="9"/>
  <c r="H10" i="9"/>
  <c r="B10" i="9"/>
  <c r="K9" i="9"/>
  <c r="I9" i="9"/>
  <c r="H9" i="9"/>
  <c r="B9" i="9"/>
  <c r="K8" i="9"/>
  <c r="I8" i="9"/>
  <c r="H8" i="9"/>
  <c r="B8" i="9"/>
  <c r="K7" i="9"/>
  <c r="I7" i="9"/>
  <c r="H7" i="9"/>
  <c r="B7" i="9"/>
  <c r="K6" i="9"/>
  <c r="I6" i="9"/>
  <c r="H6" i="9"/>
  <c r="B6" i="9"/>
  <c r="J17" i="8"/>
  <c r="I17" i="8"/>
  <c r="F17" i="8"/>
  <c r="B17" i="8"/>
  <c r="J16" i="8"/>
  <c r="I16" i="8"/>
  <c r="F16" i="8"/>
  <c r="B16" i="8"/>
  <c r="J15" i="8"/>
  <c r="I15" i="8"/>
  <c r="F15" i="8"/>
  <c r="B15" i="8"/>
  <c r="J14" i="8"/>
  <c r="I14" i="8"/>
  <c r="F14" i="8"/>
  <c r="B14" i="8"/>
  <c r="J13" i="8"/>
  <c r="I13" i="8"/>
  <c r="F13" i="8"/>
  <c r="B13" i="8"/>
  <c r="J12" i="8"/>
  <c r="I12" i="8"/>
  <c r="F12" i="8"/>
  <c r="B12" i="8"/>
  <c r="J11" i="8"/>
  <c r="I11" i="8"/>
  <c r="F11" i="8"/>
  <c r="B11" i="8"/>
  <c r="J10" i="8"/>
  <c r="I10" i="8"/>
  <c r="F10" i="8"/>
  <c r="B10" i="8"/>
  <c r="J9" i="8"/>
  <c r="I9" i="8"/>
  <c r="F9" i="8"/>
  <c r="B9" i="8"/>
  <c r="J8" i="8"/>
  <c r="I8" i="8"/>
  <c r="F8" i="8"/>
  <c r="B8" i="8"/>
  <c r="J7" i="8"/>
  <c r="I7" i="8"/>
  <c r="F7" i="8"/>
  <c r="B7" i="8"/>
  <c r="J6" i="8"/>
  <c r="I6" i="8"/>
  <c r="F6" i="8"/>
  <c r="B6" i="8"/>
  <c r="H31" i="7"/>
  <c r="G31" i="7"/>
  <c r="I31" i="7" s="1"/>
  <c r="B31" i="7"/>
  <c r="H30" i="7"/>
  <c r="G30" i="7"/>
  <c r="I30" i="7" s="1"/>
  <c r="B30" i="7"/>
  <c r="H29" i="7"/>
  <c r="G29" i="7"/>
  <c r="I29" i="7" s="1"/>
  <c r="B29" i="7"/>
  <c r="H28" i="7"/>
  <c r="G28" i="7"/>
  <c r="I28" i="7" s="1"/>
  <c r="B28" i="7"/>
  <c r="H27" i="7"/>
  <c r="G27" i="7"/>
  <c r="I27" i="7" s="1"/>
  <c r="B27" i="7"/>
  <c r="H26" i="7"/>
  <c r="G26" i="7"/>
  <c r="I26" i="7" s="1"/>
  <c r="B26" i="7"/>
  <c r="H25" i="7"/>
  <c r="G25" i="7"/>
  <c r="I25" i="7" s="1"/>
  <c r="B25" i="7"/>
  <c r="H24" i="7"/>
  <c r="G24" i="7"/>
  <c r="I24" i="7" s="1"/>
  <c r="B24" i="7"/>
  <c r="H23" i="7"/>
  <c r="G23" i="7"/>
  <c r="I23" i="7" s="1"/>
  <c r="B23" i="7"/>
  <c r="H22" i="7"/>
  <c r="G22" i="7"/>
  <c r="I22" i="7" s="1"/>
  <c r="B22" i="7"/>
  <c r="H21" i="7"/>
  <c r="G21" i="7"/>
  <c r="I21" i="7" s="1"/>
  <c r="B21" i="7"/>
  <c r="H20" i="7"/>
  <c r="G20" i="7"/>
  <c r="I20" i="7" s="1"/>
  <c r="B20" i="7"/>
  <c r="H19" i="7"/>
  <c r="G19" i="7"/>
  <c r="I19" i="7" s="1"/>
  <c r="B19" i="7"/>
  <c r="H18" i="7"/>
  <c r="G18" i="7"/>
  <c r="I18" i="7" s="1"/>
  <c r="B18" i="7"/>
  <c r="H17" i="7"/>
  <c r="G17" i="7"/>
  <c r="I17" i="7" s="1"/>
  <c r="B17" i="7"/>
  <c r="H16" i="7"/>
  <c r="G16" i="7"/>
  <c r="I16" i="7" s="1"/>
  <c r="B16" i="7"/>
  <c r="H15" i="7"/>
  <c r="G15" i="7"/>
  <c r="I15" i="7" s="1"/>
  <c r="B15" i="7"/>
  <c r="H14" i="7"/>
  <c r="G14" i="7"/>
  <c r="I14" i="7" s="1"/>
  <c r="B14" i="7"/>
  <c r="H13" i="7"/>
  <c r="G13" i="7"/>
  <c r="I13" i="7" s="1"/>
  <c r="B13" i="7"/>
  <c r="H12" i="7"/>
  <c r="G12" i="7"/>
  <c r="I12" i="7" s="1"/>
  <c r="B12" i="7"/>
  <c r="H11" i="7"/>
  <c r="G11" i="7"/>
  <c r="I11" i="7" s="1"/>
  <c r="B11" i="7"/>
  <c r="H10" i="7"/>
  <c r="G10" i="7"/>
  <c r="I10" i="7" s="1"/>
  <c r="B10" i="7"/>
  <c r="H9" i="7"/>
  <c r="G9" i="7"/>
  <c r="I9" i="7" s="1"/>
  <c r="B9" i="7"/>
  <c r="H8" i="7"/>
  <c r="G8" i="7"/>
  <c r="I8" i="7" s="1"/>
  <c r="B8" i="7"/>
  <c r="H7" i="7"/>
  <c r="G7" i="7"/>
  <c r="I7" i="7" s="1"/>
  <c r="B7" i="7"/>
  <c r="H6" i="7"/>
  <c r="G6" i="7"/>
  <c r="I6" i="7" s="1"/>
  <c r="B6" i="7"/>
  <c r="F17" i="6"/>
  <c r="G17" i="6" s="1"/>
  <c r="B17" i="6"/>
  <c r="F16" i="6"/>
  <c r="G16" i="6" s="1"/>
  <c r="B16" i="6"/>
  <c r="F15" i="6"/>
  <c r="G15" i="6" s="1"/>
  <c r="B15" i="6"/>
  <c r="F14" i="6"/>
  <c r="G14" i="6" s="1"/>
  <c r="B14" i="6"/>
  <c r="F13" i="6"/>
  <c r="G13" i="6" s="1"/>
  <c r="B13" i="6"/>
  <c r="F12" i="6"/>
  <c r="G12" i="6" s="1"/>
  <c r="B12" i="6"/>
  <c r="F11" i="6"/>
  <c r="G11" i="6" s="1"/>
  <c r="B11" i="6"/>
  <c r="F10" i="6"/>
  <c r="G10" i="6" s="1"/>
  <c r="B10" i="6"/>
  <c r="K9" i="6"/>
  <c r="F9" i="6"/>
  <c r="G9" i="6" s="1"/>
  <c r="B9" i="6"/>
  <c r="K8" i="6"/>
  <c r="F8" i="6"/>
  <c r="G8" i="6" s="1"/>
  <c r="B8" i="6"/>
  <c r="K7" i="6"/>
  <c r="F7" i="6"/>
  <c r="G7" i="6" s="1"/>
  <c r="B7" i="6"/>
  <c r="K6" i="6"/>
  <c r="F6" i="6"/>
  <c r="G6" i="6" s="1"/>
  <c r="B6" i="6"/>
  <c r="J57" i="5"/>
  <c r="I57" i="5"/>
  <c r="H57" i="5"/>
  <c r="G57" i="5"/>
  <c r="B57" i="5"/>
  <c r="J56" i="5"/>
  <c r="I56" i="5"/>
  <c r="H56" i="5"/>
  <c r="G56" i="5"/>
  <c r="B56" i="5"/>
  <c r="J55" i="5"/>
  <c r="I55" i="5"/>
  <c r="H55" i="5"/>
  <c r="G55" i="5"/>
  <c r="B55" i="5"/>
  <c r="J54" i="5"/>
  <c r="I54" i="5"/>
  <c r="H54" i="5"/>
  <c r="G54" i="5"/>
  <c r="B54" i="5"/>
  <c r="J53" i="5"/>
  <c r="I53" i="5"/>
  <c r="H53" i="5"/>
  <c r="G53" i="5"/>
  <c r="B53" i="5"/>
  <c r="J52" i="5"/>
  <c r="I52" i="5"/>
  <c r="H52" i="5"/>
  <c r="G52" i="5"/>
  <c r="B52" i="5"/>
  <c r="J51" i="5"/>
  <c r="I51" i="5"/>
  <c r="H51" i="5"/>
  <c r="G51" i="5"/>
  <c r="B51" i="5"/>
  <c r="J50" i="5"/>
  <c r="I50" i="5"/>
  <c r="H50" i="5"/>
  <c r="G50" i="5"/>
  <c r="B50" i="5"/>
  <c r="J49" i="5"/>
  <c r="I49" i="5"/>
  <c r="H49" i="5"/>
  <c r="G49" i="5"/>
  <c r="B49" i="5"/>
  <c r="J48" i="5"/>
  <c r="I48" i="5"/>
  <c r="H48" i="5"/>
  <c r="G48" i="5"/>
  <c r="B48" i="5"/>
  <c r="J47" i="5"/>
  <c r="I47" i="5"/>
  <c r="H47" i="5"/>
  <c r="G47" i="5"/>
  <c r="B47" i="5"/>
  <c r="J46" i="5"/>
  <c r="I46" i="5"/>
  <c r="H46" i="5"/>
  <c r="G46" i="5"/>
  <c r="B46" i="5"/>
  <c r="J45" i="5"/>
  <c r="I45" i="5"/>
  <c r="H45" i="5"/>
  <c r="G45" i="5"/>
  <c r="B45" i="5"/>
  <c r="J44" i="5"/>
  <c r="I44" i="5"/>
  <c r="H44" i="5"/>
  <c r="G44" i="5"/>
  <c r="B44" i="5"/>
  <c r="J43" i="5"/>
  <c r="I43" i="5"/>
  <c r="H43" i="5"/>
  <c r="G43" i="5"/>
  <c r="B43" i="5"/>
  <c r="J42" i="5"/>
  <c r="I42" i="5"/>
  <c r="H42" i="5"/>
  <c r="G42" i="5"/>
  <c r="B42" i="5"/>
  <c r="J41" i="5"/>
  <c r="I41" i="5"/>
  <c r="H41" i="5"/>
  <c r="G41" i="5"/>
  <c r="B41" i="5"/>
  <c r="J40" i="5"/>
  <c r="I40" i="5"/>
  <c r="H40" i="5"/>
  <c r="G40" i="5"/>
  <c r="B40" i="5"/>
  <c r="J39" i="5"/>
  <c r="I39" i="5"/>
  <c r="H39" i="5"/>
  <c r="G39" i="5"/>
  <c r="B39" i="5"/>
  <c r="J38" i="5"/>
  <c r="I38" i="5"/>
  <c r="H38" i="5"/>
  <c r="G38" i="5"/>
  <c r="B38" i="5"/>
  <c r="J37" i="5"/>
  <c r="I37" i="5"/>
  <c r="H37" i="5"/>
  <c r="G37" i="5"/>
  <c r="B37" i="5"/>
  <c r="J36" i="5"/>
  <c r="I36" i="5"/>
  <c r="H36" i="5"/>
  <c r="G36" i="5"/>
  <c r="B36" i="5"/>
  <c r="J35" i="5"/>
  <c r="I35" i="5"/>
  <c r="H35" i="5"/>
  <c r="G35" i="5"/>
  <c r="B35" i="5"/>
  <c r="J34" i="5"/>
  <c r="I34" i="5"/>
  <c r="H34" i="5"/>
  <c r="G34" i="5"/>
  <c r="B34" i="5"/>
  <c r="J33" i="5"/>
  <c r="I33" i="5"/>
  <c r="H33" i="5"/>
  <c r="G33" i="5"/>
  <c r="B33" i="5"/>
  <c r="J32" i="5"/>
  <c r="I32" i="5"/>
  <c r="H32" i="5"/>
  <c r="G32" i="5"/>
  <c r="B32" i="5"/>
  <c r="J31" i="5"/>
  <c r="I31" i="5"/>
  <c r="H31" i="5"/>
  <c r="G31" i="5"/>
  <c r="B31" i="5"/>
  <c r="J30" i="5"/>
  <c r="I30" i="5"/>
  <c r="H30" i="5"/>
  <c r="G30" i="5"/>
  <c r="B30" i="5"/>
  <c r="J29" i="5"/>
  <c r="I29" i="5"/>
  <c r="H29" i="5"/>
  <c r="G29" i="5"/>
  <c r="B29" i="5"/>
  <c r="J28" i="5"/>
  <c r="I28" i="5"/>
  <c r="H28" i="5"/>
  <c r="G28" i="5"/>
  <c r="B28" i="5"/>
  <c r="J27" i="5"/>
  <c r="I27" i="5"/>
  <c r="H27" i="5"/>
  <c r="G27" i="5"/>
  <c r="B27" i="5"/>
  <c r="J26" i="5"/>
  <c r="I26" i="5"/>
  <c r="H26" i="5"/>
  <c r="G26" i="5"/>
  <c r="B26" i="5"/>
  <c r="J25" i="5"/>
  <c r="I25" i="5"/>
  <c r="H25" i="5"/>
  <c r="G25" i="5"/>
  <c r="B25" i="5"/>
  <c r="J24" i="5"/>
  <c r="I24" i="5"/>
  <c r="H24" i="5"/>
  <c r="G24" i="5"/>
  <c r="B24" i="5"/>
  <c r="J23" i="5"/>
  <c r="I23" i="5"/>
  <c r="H23" i="5"/>
  <c r="G23" i="5"/>
  <c r="B23" i="5"/>
  <c r="J22" i="5"/>
  <c r="I22" i="5"/>
  <c r="H22" i="5"/>
  <c r="G22" i="5"/>
  <c r="B22" i="5"/>
  <c r="J21" i="5"/>
  <c r="I21" i="5"/>
  <c r="H21" i="5"/>
  <c r="G21" i="5"/>
  <c r="B21" i="5"/>
  <c r="J20" i="5"/>
  <c r="I20" i="5"/>
  <c r="H20" i="5"/>
  <c r="G20" i="5"/>
  <c r="B20" i="5"/>
  <c r="J19" i="5"/>
  <c r="I19" i="5"/>
  <c r="H19" i="5"/>
  <c r="G19" i="5"/>
  <c r="B19" i="5"/>
  <c r="J18" i="5"/>
  <c r="I18" i="5"/>
  <c r="H18" i="5"/>
  <c r="G18" i="5"/>
  <c r="B18" i="5"/>
  <c r="J17" i="5"/>
  <c r="I17" i="5"/>
  <c r="H17" i="5"/>
  <c r="G17" i="5"/>
  <c r="B17" i="5"/>
  <c r="J16" i="5"/>
  <c r="I16" i="5"/>
  <c r="H16" i="5"/>
  <c r="G16" i="5"/>
  <c r="B16" i="5"/>
  <c r="J15" i="5"/>
  <c r="I15" i="5"/>
  <c r="H15" i="5"/>
  <c r="G15" i="5"/>
  <c r="B15" i="5"/>
  <c r="J14" i="5"/>
  <c r="I14" i="5"/>
  <c r="H14" i="5"/>
  <c r="G14" i="5"/>
  <c r="B14" i="5"/>
  <c r="J13" i="5"/>
  <c r="I13" i="5"/>
  <c r="H13" i="5"/>
  <c r="G13" i="5"/>
  <c r="B13" i="5"/>
  <c r="J12" i="5"/>
  <c r="I12" i="5"/>
  <c r="H12" i="5"/>
  <c r="G12" i="5"/>
  <c r="B12" i="5"/>
  <c r="J11" i="5"/>
  <c r="I11" i="5"/>
  <c r="H11" i="5"/>
  <c r="G11" i="5"/>
  <c r="B11" i="5"/>
  <c r="J10" i="5"/>
  <c r="I10" i="5"/>
  <c r="H10" i="5"/>
  <c r="G10" i="5"/>
  <c r="B10" i="5"/>
  <c r="M9" i="5"/>
  <c r="J9" i="5"/>
  <c r="I9" i="5"/>
  <c r="H9" i="5"/>
  <c r="G9" i="5"/>
  <c r="B9" i="5"/>
  <c r="M8" i="5"/>
  <c r="J8" i="5"/>
  <c r="I8" i="5"/>
  <c r="H8" i="5"/>
  <c r="G8" i="5"/>
  <c r="B8" i="5"/>
  <c r="M7" i="5"/>
  <c r="J7" i="5"/>
  <c r="I7" i="5"/>
  <c r="H7" i="5"/>
  <c r="G7" i="5"/>
  <c r="B7" i="5"/>
  <c r="M6" i="5"/>
  <c r="J6" i="5"/>
  <c r="I6" i="5"/>
  <c r="H6" i="5"/>
  <c r="G6" i="5"/>
  <c r="B6" i="5"/>
  <c r="E17" i="4"/>
  <c r="B17" i="4"/>
  <c r="E16" i="4"/>
  <c r="B16" i="4"/>
  <c r="E15" i="4"/>
  <c r="B15" i="4"/>
  <c r="E14" i="4"/>
  <c r="B14" i="4"/>
  <c r="E13" i="4"/>
  <c r="B13" i="4"/>
  <c r="E12" i="4"/>
  <c r="B12" i="4"/>
  <c r="E11" i="4"/>
  <c r="B11" i="4"/>
  <c r="E10" i="4"/>
  <c r="B10" i="4"/>
  <c r="E9" i="4"/>
  <c r="B9" i="4"/>
  <c r="E8" i="4"/>
  <c r="B8" i="4"/>
  <c r="E7" i="4"/>
  <c r="B7" i="4"/>
  <c r="E6" i="4"/>
  <c r="B6" i="4"/>
  <c r="L17" i="3"/>
  <c r="K17" i="3"/>
  <c r="J17" i="3"/>
  <c r="G17" i="3"/>
  <c r="I17" i="3" s="1"/>
  <c r="B17" i="3"/>
  <c r="L16" i="3"/>
  <c r="K16" i="3"/>
  <c r="J16" i="3"/>
  <c r="G16" i="3"/>
  <c r="I16" i="3" s="1"/>
  <c r="B16" i="3"/>
  <c r="L15" i="3"/>
  <c r="K15" i="3"/>
  <c r="J15" i="3"/>
  <c r="G15" i="3"/>
  <c r="I15" i="3" s="1"/>
  <c r="B15" i="3"/>
  <c r="L14" i="3"/>
  <c r="K14" i="3"/>
  <c r="J14" i="3"/>
  <c r="G14" i="3"/>
  <c r="I14" i="3" s="1"/>
  <c r="B14" i="3"/>
  <c r="L13" i="3"/>
  <c r="K13" i="3"/>
  <c r="J13" i="3"/>
  <c r="G13" i="3"/>
  <c r="I13" i="3" s="1"/>
  <c r="B13" i="3"/>
  <c r="L12" i="3"/>
  <c r="K12" i="3"/>
  <c r="J12" i="3"/>
  <c r="G12" i="3"/>
  <c r="I12" i="3" s="1"/>
  <c r="B12" i="3"/>
  <c r="L11" i="3"/>
  <c r="K11" i="3"/>
  <c r="J11" i="3"/>
  <c r="G11" i="3"/>
  <c r="I11" i="3" s="1"/>
  <c r="B11" i="3"/>
  <c r="L10" i="3"/>
  <c r="K10" i="3"/>
  <c r="J10" i="3"/>
  <c r="G10" i="3"/>
  <c r="I10" i="3" s="1"/>
  <c r="B10" i="3"/>
  <c r="L9" i="3"/>
  <c r="K9" i="3"/>
  <c r="J9" i="3"/>
  <c r="G9" i="3"/>
  <c r="I9" i="3" s="1"/>
  <c r="B9" i="3"/>
  <c r="L8" i="3"/>
  <c r="K8" i="3"/>
  <c r="J8" i="3"/>
  <c r="G8" i="3"/>
  <c r="I8" i="3" s="1"/>
  <c r="B8" i="3"/>
  <c r="L7" i="3"/>
  <c r="K7" i="3"/>
  <c r="J7" i="3"/>
  <c r="G7" i="3"/>
  <c r="I7" i="3" s="1"/>
  <c r="B7" i="3"/>
  <c r="K6" i="3"/>
  <c r="J6" i="3"/>
  <c r="G6" i="3"/>
  <c r="B6" i="3"/>
  <c r="I19" i="2"/>
  <c r="H19" i="2"/>
  <c r="J19" i="2" s="1"/>
  <c r="I14" i="2"/>
  <c r="H14" i="2"/>
  <c r="J14" i="2" s="1"/>
  <c r="I13" i="2"/>
  <c r="H13" i="2"/>
  <c r="J13" i="2" s="1"/>
  <c r="I12" i="2"/>
  <c r="H11" i="2"/>
  <c r="J11" i="2" s="1"/>
  <c r="I10" i="2"/>
  <c r="H10" i="2"/>
  <c r="J10" i="2" s="1"/>
  <c r="I9" i="2"/>
  <c r="J4" i="2"/>
  <c r="G4" i="2"/>
  <c r="M4" i="2" s="1"/>
  <c r="D4" i="2"/>
  <c r="J8" i="14" l="1"/>
  <c r="H20" i="2"/>
  <c r="J20" i="2" s="1"/>
  <c r="M22" i="12"/>
  <c r="L22" i="12"/>
  <c r="J22" i="12"/>
  <c r="K22" i="12"/>
  <c r="M21" i="12"/>
  <c r="L21" i="12"/>
  <c r="J21" i="12"/>
  <c r="K21" i="12"/>
  <c r="M20" i="12"/>
  <c r="L20" i="12"/>
  <c r="K20" i="12"/>
  <c r="J20" i="12"/>
  <c r="M19" i="12"/>
  <c r="L19" i="12"/>
  <c r="K19" i="12"/>
  <c r="J19" i="12"/>
  <c r="M18" i="12"/>
  <c r="L18" i="12"/>
  <c r="K18" i="12"/>
  <c r="J18" i="12"/>
  <c r="M17" i="12"/>
  <c r="L17" i="12"/>
  <c r="K17" i="12"/>
  <c r="J17" i="12"/>
  <c r="M16" i="12"/>
  <c r="L16" i="12"/>
  <c r="K16" i="12"/>
  <c r="J16" i="12"/>
  <c r="J12" i="12"/>
  <c r="L12" i="12" s="1"/>
  <c r="K12" i="12"/>
  <c r="J11" i="12"/>
  <c r="L11" i="12" s="1"/>
  <c r="K11" i="12"/>
  <c r="K10" i="12"/>
  <c r="J10" i="12"/>
  <c r="L10" i="12" s="1"/>
  <c r="K9" i="12"/>
  <c r="J9" i="12"/>
  <c r="L9" i="12" s="1"/>
  <c r="K8" i="12"/>
  <c r="J8" i="12"/>
  <c r="L8" i="12" s="1"/>
  <c r="J7" i="12"/>
  <c r="K7" i="12"/>
  <c r="K6" i="12"/>
  <c r="J6" i="12"/>
  <c r="L6" i="12" s="1"/>
  <c r="L17" i="11"/>
  <c r="K17" i="11"/>
  <c r="L16" i="11"/>
  <c r="K16" i="11"/>
  <c r="L15" i="11"/>
  <c r="K15" i="11"/>
  <c r="K14" i="11"/>
  <c r="L14" i="11"/>
  <c r="L13" i="11"/>
  <c r="K13" i="11"/>
  <c r="K12" i="11"/>
  <c r="L12" i="11"/>
  <c r="L11" i="11"/>
  <c r="K11" i="11"/>
  <c r="L10" i="11"/>
  <c r="K10" i="11"/>
  <c r="L9" i="11"/>
  <c r="K9" i="11"/>
  <c r="L8" i="11"/>
  <c r="K8" i="11"/>
  <c r="L7" i="11"/>
  <c r="K7" i="11"/>
  <c r="L6" i="11"/>
  <c r="K6" i="11"/>
  <c r="H17" i="2" s="1"/>
  <c r="J17" i="2" s="1"/>
  <c r="N17" i="10"/>
  <c r="N18" i="10"/>
  <c r="N19" i="10"/>
  <c r="N20" i="10"/>
  <c r="N21" i="10"/>
  <c r="N22" i="10"/>
  <c r="O12" i="10"/>
  <c r="M12" i="10"/>
  <c r="P12" i="10" s="1"/>
  <c r="O11" i="10"/>
  <c r="M11" i="10"/>
  <c r="P11" i="10" s="1"/>
  <c r="O10" i="10"/>
  <c r="M10" i="10"/>
  <c r="P10" i="10" s="1"/>
  <c r="O9" i="10"/>
  <c r="M9" i="10"/>
  <c r="P9" i="10" s="1"/>
  <c r="O8" i="10"/>
  <c r="M8" i="10"/>
  <c r="P8" i="10" s="1"/>
  <c r="O7" i="10"/>
  <c r="M7" i="10"/>
  <c r="O6" i="10"/>
  <c r="O13" i="10" s="1"/>
  <c r="M6" i="10"/>
  <c r="N9" i="9"/>
  <c r="M9" i="9"/>
  <c r="P9" i="9" s="1"/>
  <c r="L9" i="9"/>
  <c r="O9" i="9" s="1"/>
  <c r="N8" i="9"/>
  <c r="M8" i="9"/>
  <c r="P8" i="9" s="1"/>
  <c r="L8" i="9"/>
  <c r="O8" i="9" s="1"/>
  <c r="L7" i="9"/>
  <c r="O7" i="9" s="1"/>
  <c r="N7" i="9"/>
  <c r="M7" i="9"/>
  <c r="P7" i="9" s="1"/>
  <c r="N6" i="9"/>
  <c r="M6" i="9"/>
  <c r="P6" i="9" s="1"/>
  <c r="L6" i="9"/>
  <c r="O6" i="9" s="1"/>
  <c r="O9" i="5"/>
  <c r="P9" i="5" s="1"/>
  <c r="O8" i="5"/>
  <c r="P8" i="5" s="1"/>
  <c r="N8" i="5"/>
  <c r="N6" i="5"/>
  <c r="N9" i="5"/>
  <c r="O7" i="5"/>
  <c r="P7" i="5" s="1"/>
  <c r="N7" i="5"/>
  <c r="L6" i="3"/>
  <c r="I6" i="3"/>
  <c r="H12" i="2"/>
  <c r="J12" i="2" s="1"/>
  <c r="P6" i="10" l="1"/>
  <c r="M13" i="10"/>
  <c r="H16" i="2"/>
  <c r="J16" i="2" s="1"/>
  <c r="H9" i="2"/>
  <c r="J9" i="2" s="1"/>
  <c r="A4" i="2"/>
  <c r="L7" i="12"/>
  <c r="H18" i="2" s="1"/>
  <c r="J18" i="2" s="1"/>
  <c r="P7" i="10"/>
  <c r="H15" i="2"/>
  <c r="J15" i="2" s="1"/>
  <c r="N13" i="10" l="1"/>
  <c r="P13" i="10"/>
  <c r="N6" i="10"/>
  <c r="N7" i="10"/>
  <c r="N8" i="10"/>
  <c r="N9" i="10"/>
  <c r="N10" i="10"/>
  <c r="N11" i="10"/>
  <c r="N12" i="10"/>
</calcChain>
</file>

<file path=xl/sharedStrings.xml><?xml version="1.0" encoding="utf-8"?>
<sst xmlns="http://schemas.openxmlformats.org/spreadsheetml/2006/main" count="583" uniqueCount="438">
  <si>
    <t>Benin City Contraceptive Access Pilot: Data Collation &amp; Visualization Template</t>
  </si>
  <si>
    <t>Collates data for the 11 learning questions and the headline indicator defined in the Data Strategy Table (v2).</t>
  </si>
  <si>
    <t>HOW TO USE</t>
  </si>
  <si>
    <t>1. Settings</t>
  </si>
  <si>
    <t>Enter the pilot start date, currency label and confirm targets. Targets marked PLACEHOLDER were not in the strategy table and must be agreed.</t>
  </si>
  <si>
    <t>2. Enter data</t>
  </si>
  <si>
    <t>Fill YELLOW cells (blue text) on the Headline and LQ1-LQ11 tabs at the frequency in the Register (weekly / bi-weekly / monthly / quarterly).</t>
  </si>
  <si>
    <t>3. Read results</t>
  </si>
  <si>
    <t>The Dashboard scorecard and 14 charts update automatically. Grey cells are formulas: do not overwrite.</t>
  </si>
  <si>
    <t>4. Clear examples</t>
  </si>
  <si>
    <t>Row 6 on each tab (and the first row of each LQ11 table and refusal-reason list) holds an illustrative EXAMPLE. Delete those values before real use.</t>
  </si>
  <si>
    <t>COLOUR LEGEND</t>
  </si>
  <si>
    <t>Yellow = input</t>
  </si>
  <si>
    <t>Input cell: type or select data here.</t>
  </si>
  <si>
    <t>Grey = formula</t>
  </si>
  <si>
    <t>Formula: calculated automatically.</t>
  </si>
  <si>
    <t>Teal header</t>
  </si>
  <si>
    <t>Column headers.</t>
  </si>
  <si>
    <t>TABS</t>
  </si>
  <si>
    <t>Dashboard</t>
  </si>
  <si>
    <t>Headline KPI cards, indicator scorecard (status vs target) and charts.</t>
  </si>
  <si>
    <t>Headline</t>
  </si>
  <si>
    <t>Monthly uptake conversion rate: unique clients engaged (App / Mobilizer / Walk-in) and unique clients receiving a method. Includes a data check against LQ7.</t>
  </si>
  <si>
    <t>LQ1_Experience … LQ11_Sustain</t>
  </si>
  <si>
    <t>One tab per learning question, with the indicators, source, owner and frequency from the strategy table at the top of each tab.</t>
  </si>
  <si>
    <t>Register</t>
  </si>
  <si>
    <t>Full indicator register (source, new/existing, responsible, frequency, start date, TOC level, quant/qual, feeds headline).</t>
  </si>
  <si>
    <t>Settings</t>
  </si>
  <si>
    <t>Pilot start date, targets and all dropdown lists (methods, channels, age groups, site categories, refusal reasons, kiosks, status).</t>
  </si>
  <si>
    <t>KEY ASSUMPTIONS &amp; NOTES</t>
  </si>
  <si>
    <t>Month / week numbers</t>
  </si>
  <si>
    <t>Period dates are calculated from the pilot start date. Where a tab is a long list (LQ6, LQ7, LQ9) pick the Month # or Week # from the entry, and the date fills in.</t>
  </si>
  <si>
    <t>De-duplication</t>
  </si>
  <si>
    <t>Headline counts UNIQUE clients per month using the persistent digital client ID. Enter any cross-channel overlap in the Overlap column.</t>
  </si>
  <si>
    <t>Platform build cost</t>
  </si>
  <si>
    <t>LQ8 tracks platform build cost in a separate column and excludes it from unit cost, as specified in the strategy table.</t>
  </si>
  <si>
    <t>Start dates</t>
  </si>
  <si>
    <t>Indicators with later start dates (LQ3, LQ5, LQ8, LQ10) can simply be left blank in earlier months.</t>
  </si>
  <si>
    <t>Adding categories</t>
  </si>
  <si>
    <t>Insert a row inside the relevant list on Settings so dropdowns and summaries extend. Summary tables cover the current list lengths.</t>
  </si>
  <si>
    <t>LQ9 quarterly view</t>
  </si>
  <si>
    <t>Review the channel × age matrix (LQ9_SBC) quarterly to keep sample sizes stable, per the strategy table.</t>
  </si>
  <si>
    <t>Currency</t>
  </si>
  <si>
    <t>LQ8 costs use the currency label on Settings (NGN assumed). LQ11 co-financing is in $, as in the strategy table.</t>
  </si>
  <si>
    <t>Benin City Contraceptive Access Pilot: Learning &amp; Headline Indicator Dashboard</t>
  </si>
  <si>
    <t>Updates automatically from the data-entry tabs. Example values are in row 6 of each tab: replace them before reading results.</t>
  </si>
  <si>
    <t>Latest monthly uptake conversion rate (HEADLINE)</t>
  </si>
  <si>
    <t>Headline target</t>
  </si>
  <si>
    <t>Unique clients engaged (all months)</t>
  </si>
  <si>
    <t>Unique clients receiving a method (all months)</t>
  </si>
  <si>
    <t>Cumulative conversion (received ÷ engaged)</t>
  </si>
  <si>
    <t>Indicator scorecard (latest available value)</t>
  </si>
  <si>
    <t>#</t>
  </si>
  <si>
    <t>Learning question</t>
  </si>
  <si>
    <t>Key indicator shown</t>
  </si>
  <si>
    <t>Latest value</t>
  </si>
  <si>
    <t>Target / limit</t>
  </si>
  <si>
    <t>Status</t>
  </si>
  <si>
    <t>Data-entry tab</t>
  </si>
  <si>
    <t>Frequency</t>
  </si>
  <si>
    <t>H</t>
  </si>
  <si>
    <t>HEADLINE: method uptake conversion</t>
  </si>
  <si>
    <t>Uptake conversion rate (%)</t>
  </si>
  <si>
    <t>Monthly</t>
  </si>
  <si>
    <t>Uptake drivers, barriers &amp; client experience</t>
  </si>
  <si>
    <t>Avg client satisfaction (1-5)</t>
  </si>
  <si>
    <t>LQ1_Experience</t>
  </si>
  <si>
    <t>Client-journey drop-off points</t>
  </si>
  <si>
    <t>Overall funnel conversion (uptake ÷ engagement)</t>
  </si>
  <si>
    <t>Monitor</t>
  </si>
  <si>
    <t>LQ2_Funnel</t>
  </si>
  <si>
    <t>Weekly</t>
  </si>
  <si>
    <t>User satisfaction</t>
  </si>
  <si>
    <t>Net Promoter Score</t>
  </si>
  <si>
    <t>LQ3_Satisfaction</t>
  </si>
  <si>
    <t>Unassisted digital journey completion</t>
  </si>
  <si>
    <t>% unassisted journeys completed</t>
  </si>
  <si>
    <t>LQ4_Unassisted</t>
  </si>
  <si>
    <t>Bi-weekly</t>
  </si>
  <si>
    <t>Staff incentives &amp; staffing model</t>
  </si>
  <si>
    <t>Monthly staff attrition rate</t>
  </si>
  <si>
    <t>LQ5_Staffing</t>
  </si>
  <si>
    <t>Kiosk location yield</t>
  </si>
  <si>
    <t>Best site category (foot traffic → registration)</t>
  </si>
  <si>
    <t>LQ6_Location</t>
  </si>
  <si>
    <t>Method utilization &amp; discontinuation</t>
  </si>
  <si>
    <t>Most-used method</t>
  </si>
  <si>
    <t>LQ7_Methods</t>
  </si>
  <si>
    <t>Operational cost per client / kiosk</t>
  </si>
  <si>
    <t>Unit cost per client (see Settings for currency)</t>
  </si>
  <si>
    <t>LQ8_Cost</t>
  </si>
  <si>
    <t>SBC effectiveness by demographic</t>
  </si>
  <si>
    <t>Best channel (conversion rate)</t>
  </si>
  <si>
    <t>LQ9_SBC</t>
  </si>
  <si>
    <t>Monthly / Quarterly</t>
  </si>
  <si>
    <t>DHIS2 / government data integration</t>
  </si>
  <si>
    <t>Data-sync success rate</t>
  </si>
  <si>
    <t>LQ10_DHIS2</t>
  </si>
  <si>
    <t>Stakeholder ownership &amp; sustainability</t>
  </si>
  <si>
    <t>% of co-financing target achieved</t>
  </si>
  <si>
    <t>LQ11_Sustain</t>
  </si>
  <si>
    <t>Quarterly</t>
  </si>
  <si>
    <t>Charts</t>
  </si>
  <si>
    <t>Headline indicator: Monthly Contraceptive Method Uptake Conversion Rate (%)</t>
  </si>
  <si>
    <t>Rate = Unique clients receiving a method in month ÷ Unique clients engaged via App / Mobilizer / Walk-in in month × 100. Sources: App/CRM analytics (engagement); kiosk/PHC registers + inventory logs (uptake).</t>
  </si>
  <si>
    <t>Yellow cells (blue text) = enter data. Grey cells = formulas, do not overwrite. Row 6 holds an EXAMPLE entry: overwrite or clear it before real use. Count each client once per month using the persistent digital client ID.</t>
  </si>
  <si>
    <t>Month #</t>
  </si>
  <si>
    <t>Month</t>
  </si>
  <si>
    <t>Unique clients engaged: App</t>
  </si>
  <si>
    <t>Unique clients engaged: Mobilizer</t>
  </si>
  <si>
    <t>Unique clients engaged: Walk-in</t>
  </si>
  <si>
    <t>Overlap: clients counted in &gt;1 channel</t>
  </si>
  <si>
    <t>Unique clients engaged (de-duplicated)</t>
  </si>
  <si>
    <t>Unique clients receiving a method</t>
  </si>
  <si>
    <t>HEADLINE: Uptake conversion rate</t>
  </si>
  <si>
    <t>Target</t>
  </si>
  <si>
    <t>Methods issued (from LQ7_Methods)</t>
  </si>
  <si>
    <t>Data check</t>
  </si>
  <si>
    <t>LQ1: Uptake drivers, barriers and client experience</t>
  </si>
  <si>
    <t>Indicators: client satisfaction score (post-visit, 1-5); barrier-reporting rate (% exit surveys citing ≥1 barrier); provider counseling-quality score (digital observation rubric). Responsible: City team &amp; Implementation partner. Monthly.</t>
  </si>
  <si>
    <t xml:space="preserve">Yellow cells (blue text) = enter data. Grey cells = formulas, do not overwrite. Row 6 holds an EXAMPLE entry: overwrite or clear it before real use. </t>
  </si>
  <si>
    <t>Exit surveys completed</t>
  </si>
  <si>
    <t>Surveys citing ≥1 barrier</t>
  </si>
  <si>
    <t>Barrier-reporting rate</t>
  </si>
  <si>
    <t>Observations completed</t>
  </si>
  <si>
    <t>Avg counseling-quality score (1-5)</t>
  </si>
  <si>
    <t>Key drivers / barriers (qualitative summary)</t>
  </si>
  <si>
    <t>Fear of side effects most cited; short waiting times valued.</t>
  </si>
  <si>
    <t>LQ2: Client-journey drop-off points (weekly funnel)</t>
  </si>
  <si>
    <t>Indicator: stage-by-stage conversion / drop-off (app engagement → registration → kiosk/PHC referral → method uptake) under one persistent client ID. Responsible: Implementation partner. Weekly.</t>
  </si>
  <si>
    <t>Funnel summary (cumulative)</t>
  </si>
  <si>
    <t>Week #</t>
  </si>
  <si>
    <t>Week start</t>
  </si>
  <si>
    <t>1. App engagement</t>
  </si>
  <si>
    <t>2. Registration</t>
  </si>
  <si>
    <t>3. Kiosk/PHC referral (check-in)</t>
  </si>
  <si>
    <t>4. Method uptake</t>
  </si>
  <si>
    <t>Registration ÷ engagement</t>
  </si>
  <si>
    <t>Referral ÷ registration</t>
  </si>
  <si>
    <t>Uptake ÷ referral</t>
  </si>
  <si>
    <t>Overall: uptake ÷ engagement</t>
  </si>
  <si>
    <t>Stage</t>
  </si>
  <si>
    <t>Total clients</t>
  </si>
  <si>
    <t>% of stage 1</t>
  </si>
  <si>
    <t>Step conversion</t>
  </si>
  <si>
    <t>Step drop-off</t>
  </si>
  <si>
    <t>3. Kiosk/PHC referral</t>
  </si>
  <si>
    <t>LQ3: User satisfaction (NPS) and client ambassadors</t>
  </si>
  <si>
    <t>Indicators: monthly Net Promoter Score; client ambassadors = clients whose unique digital referral code is used ≥2 times in a month (reviewed quarterly). Responsible: City team.</t>
  </si>
  <si>
    <t>Ambassadors by quarter</t>
  </si>
  <si>
    <t>Promoters (9-10)</t>
  </si>
  <si>
    <t>Passives (7-8)</t>
  </si>
  <si>
    <t>Detractors (0-6)</t>
  </si>
  <si>
    <t>Responses</t>
  </si>
  <si>
    <t>NPS (-100 to 100)</t>
  </si>
  <si>
    <t>New ambassadors this month</t>
  </si>
  <si>
    <t>Quarter</t>
  </si>
  <si>
    <t>Ambassadors</t>
  </si>
  <si>
    <t>Q1 (months 1-3)</t>
  </si>
  <si>
    <t>Q2 (months 4-6)</t>
  </si>
  <si>
    <t>Q3 (months 7-9)</t>
  </si>
  <si>
    <t>Q4 (months 10-12)</t>
  </si>
  <si>
    <t>LQ4: Unassisted digital journey completion (bi-weekly)</t>
  </si>
  <si>
    <t>Indicators: % of unassisted journeys completed; conversion-rate gap between self-navigating and mobilizer-assisted cohorts (opt-in comparison). Responsible: Implementation partner.</t>
  </si>
  <si>
    <t>Period #</t>
  </si>
  <si>
    <t>Period start</t>
  </si>
  <si>
    <t>Self-navigating: journeys started</t>
  </si>
  <si>
    <t>Self-navigating: journeys completed</t>
  </si>
  <si>
    <t>Mobilizer-assisted: journeys started</t>
  </si>
  <si>
    <t>Mobilizer-assisted: journeys completed</t>
  </si>
  <si>
    <t>% unassisted completed</t>
  </si>
  <si>
    <t>% assisted completed</t>
  </si>
  <si>
    <t>Gap (unassisted − assisted)</t>
  </si>
  <si>
    <t>LQ5: Staff incentives and staffing model</t>
  </si>
  <si>
    <t>Indicators: monthly staff attrition rate; client-to-staff ratio; staff satisfaction (in-app pulse survey). Responsible: City team. Monthly / quarterly. Starts 2 months post-launch.</t>
  </si>
  <si>
    <t>Staff at start of month</t>
  </si>
  <si>
    <t>Staff leavers in month</t>
  </si>
  <si>
    <t>Staff at end of month</t>
  </si>
  <si>
    <t>Attrition rate</t>
  </si>
  <si>
    <t>Kiosks operating</t>
  </si>
  <si>
    <t>Clients served</t>
  </si>
  <si>
    <t>Client-to-staff ratio</t>
  </si>
  <si>
    <t>Staff per kiosk</t>
  </si>
  <si>
    <t>Avg staff satisfaction (1-5)</t>
  </si>
  <si>
    <t>Pulse survey responses</t>
  </si>
  <si>
    <t>Incentive / staffing model notes</t>
  </si>
  <si>
    <t>Performance bonus piloted at K02.</t>
  </si>
  <si>
    <t>LQ6: Kiosk location yield (market, park, health facility)</t>
  </si>
  <si>
    <t>Indicators: foot-traffic-to-registration conversion rate; monthly method uptake per site category. Responsible: Implementation partner. Weekly. One row per kiosk per week.</t>
  </si>
  <si>
    <t>Summary by site category (cumulative)</t>
  </si>
  <si>
    <t>Kiosk / site</t>
  </si>
  <si>
    <t>Site category</t>
  </si>
  <si>
    <t>Foot traffic (tally)</t>
  </si>
  <si>
    <t>Registrations</t>
  </si>
  <si>
    <t>Method uptake</t>
  </si>
  <si>
    <t>Foot traffic → registration</t>
  </si>
  <si>
    <t>Uptake ÷ registration</t>
  </si>
  <si>
    <t>Foot traffic</t>
  </si>
  <si>
    <t>K01</t>
  </si>
  <si>
    <t>Market</t>
  </si>
  <si>
    <t>LQ7: Method utilization, refusal and discontinuation</t>
  </si>
  <si>
    <t>Indicators: method-uptake distribution (%); discontinuation rate; refusal-reason frequency (coded from digital counseling notes). Responsible: Implementation partner &amp; kiosk providers. Monthly. One row per method per month.</t>
  </si>
  <si>
    <t>Refusal reasons (coded from counseling notes)</t>
  </si>
  <si>
    <t>Summary: method utilization (cumulative)</t>
  </si>
  <si>
    <t>Method</t>
  </si>
  <si>
    <t>Clients accepting method</t>
  </si>
  <si>
    <t>Clients discontinuing</t>
  </si>
  <si>
    <t>Discontinuation rate</t>
  </si>
  <si>
    <t>Refusal reason</t>
  </si>
  <si>
    <t>Refusals (count)</t>
  </si>
  <si>
    <t>Clients accepting</t>
  </si>
  <si>
    <t>% of total</t>
  </si>
  <si>
    <t>Discontinued</t>
  </si>
  <si>
    <t>Injectable</t>
  </si>
  <si>
    <t>Fear of side effects</t>
  </si>
  <si>
    <t>Total</t>
  </si>
  <si>
    <t>Summary: refusal reasons (cumulative)</t>
  </si>
  <si>
    <t>Count</t>
  </si>
  <si>
    <t>% of refusals</t>
  </si>
  <si>
    <t>LQ8: Operational cost per client and per kiosk</t>
  </si>
  <si>
    <t>Indicators: unit cost per client served (total cost ÷ total clients); operating cost per kiosk. Platform build cost is tracked separately and EXCLUDED from unit cost. Responsible: City finance lead &amp; project manager. Monthly. Amounts in the currency set on Settings.</t>
  </si>
  <si>
    <t>Staff costs</t>
  </si>
  <si>
    <t>Rent / utilities</t>
  </si>
  <si>
    <t>Commodities / supplies</t>
  </si>
  <si>
    <t>Other operating costs</t>
  </si>
  <si>
    <t>Total operating cost</t>
  </si>
  <si>
    <t>Platform build cost (tracked separately)</t>
  </si>
  <si>
    <t>Unit cost per client</t>
  </si>
  <si>
    <t>Operating cost per kiosk</t>
  </si>
  <si>
    <t>LQ9: Social and Behavior Change (SBC) channel effectiveness by demographic</t>
  </si>
  <si>
    <t>Indicators: acquisition volume by channel; channel conversion rate by age/demographic (demographic breakdown reported quarterly for sample stability). Responsible: Implementation partner. One row per channel × age group per month.</t>
  </si>
  <si>
    <t>Summary by channel (cumulative)</t>
  </si>
  <si>
    <t>Channel</t>
  </si>
  <si>
    <t>Age group</t>
  </si>
  <si>
    <t>Clients acquired</t>
  </si>
  <si>
    <t>Converted to method uptake</t>
  </si>
  <si>
    <t>Conversion rate</t>
  </si>
  <si>
    <t>Converted</t>
  </si>
  <si>
    <t>Mobilizer</t>
  </si>
  <si>
    <t>20-24 yrs</t>
  </si>
  <si>
    <t>Conversion rate: channel × age group (review quarterly)</t>
  </si>
  <si>
    <t>LQ10: DHIS2 / government data integration</t>
  </si>
  <si>
    <t>Indicators: data-sync success rate (target ≥95%); reporting latency (target &lt;48h); official usability rating (target ≥4/5). Responsible: Technical / M&amp;E lead. Monthly. Starts at mid-pilot review (leave earlier months blank).</t>
  </si>
  <si>
    <t>Records due to sync</t>
  </si>
  <si>
    <t>Records successfully synced</t>
  </si>
  <si>
    <t>Sync success rate</t>
  </si>
  <si>
    <t>Avg reporting latency (hours)</t>
  </si>
  <si>
    <t>Avg official usability rating (1-5)</t>
  </si>
  <si>
    <t>Official raters</t>
  </si>
  <si>
    <t>Sync target met?</t>
  </si>
  <si>
    <t>Latency target met?</t>
  </si>
  <si>
    <t>Usability target met?</t>
  </si>
  <si>
    <t>LQ11: Stakeholder ownership and sustainability (qualitative / milestone tracking)</t>
  </si>
  <si>
    <t>Indicators: co-financing milestone achievement ($); policy-commitment adoption status. Sources: KIIs conducted and coded by the Technical/M&amp;E lead (independent of City project leadership); digitally recorded policy meeting minutes. Quarterly.</t>
  </si>
  <si>
    <t>Yellow cells (blue text) = enter data. Grey = formulas. The first row of each table is an EXAMPLE: overwrite or clear it before real use.</t>
  </si>
  <si>
    <t>A. Co-financing milestones</t>
  </si>
  <si>
    <t>Summary</t>
  </si>
  <si>
    <t>Milestone</t>
  </si>
  <si>
    <t>Funder / partner</t>
  </si>
  <si>
    <t>Due date</t>
  </si>
  <si>
    <t>Target ($)</t>
  </si>
  <si>
    <t>Achieved ($)</t>
  </si>
  <si>
    <t>% achieved</t>
  </si>
  <si>
    <t>State co-financing tranche 1</t>
  </si>
  <si>
    <t>Edo State Government</t>
  </si>
  <si>
    <t>In progress</t>
  </si>
  <si>
    <t>Total co-financing target ($)</t>
  </si>
  <si>
    <t>Total co-financing achieved ($)</t>
  </si>
  <si>
    <t>% of co-financing achieved</t>
  </si>
  <si>
    <t>Milestones achieved (count)</t>
  </si>
  <si>
    <t>Milestones missed (count)</t>
  </si>
  <si>
    <t>Policy commitments adopted (Achieved)</t>
  </si>
  <si>
    <t>Policy commitments in progress</t>
  </si>
  <si>
    <t>KII findings coded as enablers</t>
  </si>
  <si>
    <t>KII findings coded as barriers</t>
  </si>
  <si>
    <t>B. Policy commitments</t>
  </si>
  <si>
    <t>Policy commitment</t>
  </si>
  <si>
    <t>Government body</t>
  </si>
  <si>
    <t>Date secured / due</t>
  </si>
  <si>
    <t>MoU on DHIS2 data sharing</t>
  </si>
  <si>
    <t>State Ministry of Health</t>
  </si>
  <si>
    <t>C. Key informant interview (KII) log: coded by Technical / M&amp;E lead</t>
  </si>
  <si>
    <t>Key finding</t>
  </si>
  <si>
    <t>Stakeholder type</t>
  </si>
  <si>
    <t>Interview date</t>
  </si>
  <si>
    <t>Coded theme</t>
  </si>
  <si>
    <t>Enabler / barrier</t>
  </si>
  <si>
    <t>Interviewer (independent)</t>
  </si>
  <si>
    <t>Ministry committed to a 2027 budget line for kiosks</t>
  </si>
  <si>
    <t>State MoH official</t>
  </si>
  <si>
    <t>Government ownership</t>
  </si>
  <si>
    <t>Enabler</t>
  </si>
  <si>
    <t>M&amp;E consultant</t>
  </si>
  <si>
    <t>Indicator register (from the Data Strategy Table, parts 1-4, and the Indicator Design &amp; Alignment Check)</t>
  </si>
  <si>
    <t>Reference only. Each row points to the template tab where the data is entered.</t>
  </si>
  <si>
    <t>Indicator(s)</t>
  </si>
  <si>
    <t>Data collection source</t>
  </si>
  <si>
    <t>New / existing?</t>
  </si>
  <si>
    <t>Responsible</t>
  </si>
  <si>
    <t>Start date</t>
  </si>
  <si>
    <t>TOC level</t>
  </si>
  <si>
    <t>Quant / Qual</t>
  </si>
  <si>
    <t>Feeds headline indicator?</t>
  </si>
  <si>
    <t>Template tab</t>
  </si>
  <si>
    <t>HEADLINE: Does the delivery chain get clients a method?</t>
  </si>
  <si>
    <t>Monthly Contraceptive Method Uptake Conversion Rate (%) = unique clients receiving a method ÷ unique clients engaged via App / Mobilizer / Walk-in × 100</t>
  </si>
  <si>
    <t>App/CRM analytics (engagement); kiosk/PHC registers and inventory logs (uptake)</t>
  </si>
  <si>
    <t>Existing instruments</t>
  </si>
  <si>
    <t>Implementation partner</t>
  </si>
  <si>
    <t>At pilot launch</t>
  </si>
  <si>
    <t>Outcome</t>
  </si>
  <si>
    <t>Quantitative</t>
  </si>
  <si>
    <t>n/a</t>
  </si>
  <si>
    <t>What drives uptake of contraceptives and what are the barriers? What creates a good experience for women using the service?</t>
  </si>
  <si>
    <t>Client satisfaction score (post-visit, 1-5); barrier-reporting rate (% exit surveys citing ≥1 barrier); provider counseling-quality score (digital observation rubric)</t>
  </si>
  <si>
    <t>In-app post-service feedback form; digital supervisor observation checklist on kiosk/PHC tablet; CONTRAconnect service-delivery logs</t>
  </si>
  <si>
    <t>New</t>
  </si>
  <si>
    <t>City team &amp; Implementation partner</t>
  </si>
  <si>
    <t>Early outcome</t>
  </si>
  <si>
    <t>Mixed</t>
  </si>
  <si>
    <t>No</t>
  </si>
  <si>
    <t>At which points in the client journey do most drop-offs occur?</t>
  </si>
  <si>
    <t>Stage-by-stage conversion/drop-off rate (app engagement → registration → kiosk/PHC referral → method uptake) under one persistent digital client ID</t>
  </si>
  <si>
    <t>CONTRAconnect app and CRM analytics linked to kiosk-tablet check-ins by client ID; single digital system</t>
  </si>
  <si>
    <t>Existing (app/CRM) &amp; New (funnel-stage reporting)</t>
  </si>
  <si>
    <t>Output</t>
  </si>
  <si>
    <t>Yes</t>
  </si>
  <si>
    <t>How do we determine if users are satisfied?</t>
  </si>
  <si>
    <t>Net Promoter Score (monthly); client ambassadors (unique digital referral code used ≥2 times in a month, reviewed quarterly)</t>
  </si>
  <si>
    <t>In-app satisfaction survey; CRM digital referral-code tracking</t>
  </si>
  <si>
    <t>City team</t>
  </si>
  <si>
    <t>Monthly (NPS) / Quarterly (ambassadors)</t>
  </si>
  <si>
    <t>1 month post-launch</t>
  </si>
  <si>
    <t>To what extent can women independently complete the full digital client journey without mobilizer assistance?</t>
  </si>
  <si>
    <t>% of unassisted journeys completed; conversion-rate gap between self-navigating and mobilizer-assisted cohorts (opt-in comparison, not withheld assistance)</t>
  </si>
  <si>
    <t>CONTRAconnect app analytics segmented by self-reported onboarding path, cross-referenced with the drop-off funnel</t>
  </si>
  <si>
    <t>What incentive structure is necessary to retain high-quality staff? What staffing model is most efficient per kiosk?</t>
  </si>
  <si>
    <t>Monthly staff attrition rate (%); client-to-staff ratio; staff satisfaction rating (in-app pulse survey)</t>
  </si>
  <si>
    <t>Digital HR/payroll system; in-app staff time-logging; in-app staff satisfaction survey</t>
  </si>
  <si>
    <t>Existing (HR/payroll) &amp; New (time-logging, pulse survey)</t>
  </si>
  <si>
    <t>2 months post-launch</t>
  </si>
  <si>
    <t>Input / activity</t>
  </si>
  <si>
    <t>Which kiosk location produces a better yield? (market, park, close to a health facility)</t>
  </si>
  <si>
    <t>Foot-traffic-to-registration conversion rate; monthly method uptake per site category</t>
  </si>
  <si>
    <t>Digital foot-traffic tally at kiosk-tablet check-in; kiosk client registers in CONTRAconnect, site-tagged</t>
  </si>
  <si>
    <t>What contraceptive methods are most/least utilized, and what factors influence acceptance, refusal, or discontinuation?</t>
  </si>
  <si>
    <t>Method-uptake distribution (%); discontinuation rate; refusal-reason frequency (coded from digital counseling notes)</t>
  </si>
  <si>
    <t>CONTRAconnect commodity/inventory module cross-referenced with client demographics; same digital observation checklist as LQ1</t>
  </si>
  <si>
    <t>Existing (inventory module) &amp; New (refusal-reason coding)</t>
  </si>
  <si>
    <t>Implementation partner &amp; kiosk providers</t>
  </si>
  <si>
    <t>What are the true operational costs per client/method/kiosk, and what efficiencies could reduce costs?</t>
  </si>
  <si>
    <t>Unit cost per client served (total cost ÷ total clients); operating cost per kiosk</t>
  </si>
  <si>
    <t>Digital accounting ledgers and expenditure records, plus a new per-kiosk/per-client cost-allocation model (platform build cost tracked separately)</t>
  </si>
  <si>
    <t>Existing (ledgers) &amp; New (cost-allocation model)</t>
  </si>
  <si>
    <t>City finance lead &amp; project manager</t>
  </si>
  <si>
    <t>Which SBC strategies are most effective for different demographic groups?</t>
  </si>
  <si>
    <t>Acquisition volume by channel; channel conversion rate by age/demographic (quarterly for sample stability)</t>
  </si>
  <si>
    <t>CONTRAconnect digital intake channel-attribution field; in-app marketing/campaign logs</t>
  </si>
  <si>
    <t>Monthly (collection) / Quarterly (demographic breakdown)</t>
  </si>
  <si>
    <t>Can data be effectively integrated into DHIS2/government reporting, and what dashboard features are needed?</t>
  </si>
  <si>
    <t>Data-sync success rate (target ≥95%); reporting latency (target &lt;48h); official usability rating (target ≥4/5)</t>
  </si>
  <si>
    <t>API integration audit logs; government-official dashboard user-testing feedback</t>
  </si>
  <si>
    <t>Technical / M&amp;E lead</t>
  </si>
  <si>
    <t>Mid-pilot review</t>
  </si>
  <si>
    <t>What conditions are required to sustain stakeholder ownership, government support, and long-term integration?</t>
  </si>
  <si>
    <t>Co-financing milestone achievement ($); policy-commitment adoption status</t>
  </si>
  <si>
    <t>Key Informant Interviews coded by the Technical/M&amp;E lead (independent of City project leadership); digitally recorded policy meeting minutes</t>
  </si>
  <si>
    <t>City project leadership &amp; Technical/M&amp;E lead</t>
  </si>
  <si>
    <t>Mid-pilot to project end</t>
  </si>
  <si>
    <t>Outcome (enabling condition)</t>
  </si>
  <si>
    <t>Qualitative</t>
  </si>
  <si>
    <t>Settings, targets and dropdown lists</t>
  </si>
  <si>
    <t>Edit names freely. To add a category, INSERT A ROW inside the list so that formulas and dropdowns expand.</t>
  </si>
  <si>
    <t>Methods</t>
  </si>
  <si>
    <t>Channels</t>
  </si>
  <si>
    <t>Age groups</t>
  </si>
  <si>
    <t>Site categories</t>
  </si>
  <si>
    <t>Refusal reasons</t>
  </si>
  <si>
    <t>Polarity</t>
  </si>
  <si>
    <t>Pilot start date (first day of Month 1)</t>
  </si>
  <si>
    <t>ASSUMPTION: placeholder date. Replace with the actual pilot launch date; all month/week dates derive from it.</t>
  </si>
  <si>
    <t>Pill</t>
  </si>
  <si>
    <t>App (self-referral)</t>
  </si>
  <si>
    <t>15-19 yrs</t>
  </si>
  <si>
    <t>Not started</t>
  </si>
  <si>
    <t>Currency label for costs</t>
  </si>
  <si>
    <t>NGN</t>
  </si>
  <si>
    <t>ASSUMPTION: Naira assumed (Benin City). Change if costs are tracked in another currency.</t>
  </si>
  <si>
    <t>Park</t>
  </si>
  <si>
    <t>Partner opposition</t>
  </si>
  <si>
    <t>K02</t>
  </si>
  <si>
    <t>Barrier</t>
  </si>
  <si>
    <t>Target / threshold</t>
  </si>
  <si>
    <t>Value</t>
  </si>
  <si>
    <t>Source / note</t>
  </si>
  <si>
    <t>Implant</t>
  </si>
  <si>
    <t>Walk-in</t>
  </si>
  <si>
    <t>25-34 yrs</t>
  </si>
  <si>
    <t>Health facility</t>
  </si>
  <si>
    <t>Method not available</t>
  </si>
  <si>
    <t>K03</t>
  </si>
  <si>
    <t>Achieved</t>
  </si>
  <si>
    <t>Neutral</t>
  </si>
  <si>
    <t>Headline: monthly method uptake conversion rate target</t>
  </si>
  <si>
    <t>PLACEHOLDER: agree a target with the city team (not set in the data strategy table).</t>
  </si>
  <si>
    <t>IUD</t>
  </si>
  <si>
    <t>Social media</t>
  </si>
  <si>
    <t>35-49 yrs</t>
  </si>
  <si>
    <t>Other</t>
  </si>
  <si>
    <t>Wants time to think</t>
  </si>
  <si>
    <t>K04</t>
  </si>
  <si>
    <t>Missed</t>
  </si>
  <si>
    <t>Client satisfaction score target (1-5)</t>
  </si>
  <si>
    <t>PLACEHOLDER: agree with the city team.</t>
  </si>
  <si>
    <t>Condom</t>
  </si>
  <si>
    <t>Radio</t>
  </si>
  <si>
    <t>Religious / cultural</t>
  </si>
  <si>
    <t>K05</t>
  </si>
  <si>
    <t>Provider counseling-quality score target (1-5)</t>
  </si>
  <si>
    <t>Emergency contraception</t>
  </si>
  <si>
    <t>Community event</t>
  </si>
  <si>
    <t>K06</t>
  </si>
  <si>
    <t>Net Promoter Score target</t>
  </si>
  <si>
    <t>Digital referral code</t>
  </si>
  <si>
    <t>K07</t>
  </si>
  <si>
    <t>Barrier-reporting rate: maximum acceptable</t>
  </si>
  <si>
    <t>K08</t>
  </si>
  <si>
    <t>Monthly staff attrition: maximum acceptable</t>
  </si>
  <si>
    <t>K09</t>
  </si>
  <si>
    <t>DHIS2 data-sync success rate target</t>
  </si>
  <si>
    <t>From data strategy table (target &gt;=95%).</t>
  </si>
  <si>
    <t>K10</t>
  </si>
  <si>
    <t>Reporting latency maximum (hours)</t>
  </si>
  <si>
    <t>From data strategy table (target &lt;48h).</t>
  </si>
  <si>
    <t>Official dashboard usability rating target (1-5)</t>
  </si>
  <si>
    <t>From data strategy table (target &gt;=4/5).</t>
  </si>
  <si>
    <t>Unassisted journey completion target</t>
  </si>
  <si>
    <t>PLACEHOLDER: agree with the implementation partner.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</si>
</sst>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dd\-mmm\-yy"/>
    <numFmt numFmtId="167" formatCode="#,##0.0"/>
    <numFmt numFmtId="168" formatCode="dd\-mmm\-yyyy"/>
  </numFmts>
  <fonts count="15" x14ac:knownFonts="1">
    <font>
      <sz val="11"/>
      <color theme="1"/>
      <name val="Calibri"/>
      <family val="2"/>
      <charset val="1"/>
    </font>
    <font>
      <b/>
      <sz val="14"/>
      <color rgb="FF1F4E5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6"/>
      <color rgb="FF1F4E5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20"/>
      <color rgb="FF1F4E5F"/>
      <name val="Arial"/>
      <charset val="1"/>
    </font>
    <font>
      <b/>
      <sz val="12"/>
      <color rgb="FF1F4E5F"/>
      <name val="Arial"/>
      <charset val="1"/>
    </font>
    <font>
      <u/>
      <sz val="10"/>
      <color rgb="FF0563C1"/>
      <name val="Arial"/>
      <charset val="1"/>
    </font>
    <font>
      <sz val="9"/>
      <color rgb="FFC0392B"/>
      <name val="Arial"/>
      <charset val="1"/>
    </font>
    <font>
      <b/>
      <sz val="10"/>
      <color rgb="FF1F4E5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9DB"/>
        <bgColor rgb="FFF9F9F9"/>
      </patternFill>
    </fill>
    <fill>
      <patternFill patternType="solid">
        <fgColor rgb="FFF0F0F0"/>
        <bgColor rgb="FFE8F1F4"/>
      </patternFill>
    </fill>
    <fill>
      <patternFill patternType="solid">
        <fgColor rgb="FFE8F1F4"/>
        <bgColor rgb="FFF0F0F0"/>
      </patternFill>
    </fill>
    <fill>
      <patternFill patternType="solid">
        <fgColor rgb="FFDDEBF7"/>
        <bgColor rgb="FFE8F1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2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10" fillId="5" borderId="0" xfId="0" applyNumberFormat="1" applyFont="1" applyFill="1" applyAlignment="1">
      <alignment horizontal="center" vertical="center"/>
    </xf>
    <xf numFmtId="9" fontId="10" fillId="5" borderId="0" xfId="0" applyNumberFormat="1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13" fillId="0" borderId="0" xfId="0" applyFont="1"/>
    <xf numFmtId="1" fontId="5" fillId="4" borderId="1" xfId="0" applyNumberFormat="1" applyFont="1" applyFill="1" applyBorder="1" applyAlignment="1">
      <alignment vertical="center"/>
    </xf>
    <xf numFmtId="17" fontId="5" fillId="4" borderId="1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14" fillId="0" borderId="0" xfId="0" applyFont="1"/>
    <xf numFmtId="166" fontId="5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7" fontId="5" fillId="4" borderId="1" xfId="0" applyNumberFormat="1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167" fontId="6" fillId="3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vertical="center"/>
    </xf>
    <xf numFmtId="166" fontId="6" fillId="3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168" fontId="6" fillId="3" borderId="1" xfId="0" applyNumberFormat="1" applyFont="1" applyFill="1" applyBorder="1" applyAlignment="1">
      <alignment vertical="center"/>
    </xf>
    <xf numFmtId="9" fontId="6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6">
    <dxf>
      <font>
        <b/>
        <color rgb="FFC0392B"/>
        <name val="Arial"/>
        <charset val="1"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BFBFBF"/>
      <rgbColor rgb="FF7F7F7F"/>
      <rgbColor rgb="FF9999FF"/>
      <rgbColor rgb="FF993366"/>
      <rgbColor rgb="FFFFF9DB"/>
      <rgbColor rgb="FFDDEBF7"/>
      <rgbColor rgb="FF660066"/>
      <rgbColor rgb="FFF4A259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4"/>
      <rgbColor rgb="FFC6EFCE"/>
      <rgbColor rgb="FFFFEB9C"/>
      <rgbColor rgb="FFF0F0F0"/>
      <rgbColor rgb="FFF9F9F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4E5F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Headline: monthly uptake conversion rate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Uptake conversion rate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Headline!$B$6:$B$17</c:f>
              <c:numCache>
                <c:formatCode>mmm\-yy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Headline!$I$6:$I$17</c:f>
              <c:numCache>
                <c:formatCode>0.0%</c:formatCode>
                <c:ptCount val="12"/>
                <c:pt idx="0">
                  <c:v>0.39548022598870058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4-45B7-AE77-ED168F797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323451"/>
        <c:axId val="7401269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808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Headline!$B$6:$B$17</c:f>
              <c:numCache>
                <c:formatCode>mmm\-yy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Headline!$J$6:$J$17</c:f>
              <c:numCache>
                <c:formatCode>0.0%</c:formatCode>
                <c:ptCount val="1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14-45B7-AE77-ED168F797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6323451"/>
        <c:axId val="7401269"/>
      </c:lineChart>
      <c:dateAx>
        <c:axId val="5632345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7401269"/>
        <c:crosses val="autoZero"/>
        <c:auto val="1"/>
        <c:lblOffset val="100"/>
        <c:baseTimeUnit val="months"/>
      </c:dateAx>
      <c:valAx>
        <c:axId val="7401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563234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LQ2: Client-journey funnel (cumulative clients)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Clients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LQ2_Funnel!$L$6:$L$9</c:f>
              <c:strCache>
                <c:ptCount val="4"/>
                <c:pt idx="0">
                  <c:v>1. App engagement</c:v>
                </c:pt>
                <c:pt idx="1">
                  <c:v>2. Registration</c:v>
                </c:pt>
                <c:pt idx="2">
                  <c:v>3. Kiosk/PHC referral</c:v>
                </c:pt>
                <c:pt idx="3">
                  <c:v>4. Method uptake</c:v>
                </c:pt>
              </c:strCache>
            </c:strRef>
          </c:cat>
          <c:val>
            <c:numRef>
              <c:f>LQ2_Funnel!$M$6:$M$9</c:f>
              <c:numCache>
                <c:formatCode>#,##0</c:formatCode>
                <c:ptCount val="4"/>
                <c:pt idx="0">
                  <c:v>600</c:v>
                </c:pt>
                <c:pt idx="1">
                  <c:v>410</c:v>
                </c:pt>
                <c:pt idx="2">
                  <c:v>320</c:v>
                </c:pt>
                <c:pt idx="3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2-4D7A-8C32-BCA7AE9F3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50277"/>
        <c:axId val="51071311"/>
      </c:barChart>
      <c:catAx>
        <c:axId val="329502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51071311"/>
        <c:crosses val="autoZero"/>
        <c:auto val="1"/>
        <c:lblAlgn val="ctr"/>
        <c:lblOffset val="100"/>
        <c:noMultiLvlLbl val="0"/>
      </c:catAx>
      <c:valAx>
        <c:axId val="510713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329502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LQ1: Average client satisfaction (1-5)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Satisfaction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LQ1_Experience!$B$6:$B$17</c:f>
              <c:numCache>
                <c:formatCode>mmm\-yy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LQ1_Experience!$F$6:$F$17</c:f>
              <c:numCache>
                <c:formatCode>0.0</c:formatCode>
                <c:ptCount val="12"/>
                <c:pt idx="0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6-48F9-94F2-BFA0AD0BC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14946"/>
        <c:axId val="68571036"/>
      </c:barChart>
      <c:dateAx>
        <c:axId val="5101494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68571036"/>
        <c:crosses val="autoZero"/>
        <c:auto val="1"/>
        <c:lblOffset val="100"/>
        <c:baseTimeUnit val="months"/>
      </c:dateAx>
      <c:valAx>
        <c:axId val="68571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51014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LQ1: Barrier-reporting rate (% of exit surveys)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Barrier rate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LQ1_Experience!$B$6:$B$17</c:f>
              <c:numCache>
                <c:formatCode>mmm\-yy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LQ1_Experience!$E$6:$E$17</c:f>
              <c:numCache>
                <c:formatCode>0.0%</c:formatCode>
                <c:ptCount val="12"/>
                <c:pt idx="0">
                  <c:v>0.31666666666666665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4-41D2-AB5A-E879AC214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127937"/>
        <c:axId val="62786189"/>
      </c:barChart>
      <c:dateAx>
        <c:axId val="9812793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62786189"/>
        <c:crosses val="autoZero"/>
        <c:auto val="1"/>
        <c:lblOffset val="100"/>
        <c:baseTimeUnit val="months"/>
      </c:dateAx>
      <c:valAx>
        <c:axId val="62786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981279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LQ3: Net Promoter Score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NPS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LQ3_Satisfaction!$B$6:$B$17</c:f>
              <c:numCache>
                <c:formatCode>mmm\-yy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LQ3_Satisfaction!$G$6:$G$17</c:f>
              <c:numCache>
                <c:formatCode>0</c:formatCode>
                <c:ptCount val="12"/>
                <c:pt idx="0">
                  <c:v>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9-4873-B7DA-13BCFD1D7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04445"/>
        <c:axId val="31014912"/>
      </c:barChart>
      <c:dateAx>
        <c:axId val="3240444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31014912"/>
        <c:crosses val="autoZero"/>
        <c:auto val="1"/>
        <c:lblOffset val="100"/>
        <c:baseTimeUnit val="months"/>
      </c:dateAx>
      <c:valAx>
        <c:axId val="31014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324044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LQ4: Journey completion: unassisted vs assisted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Unassisted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LQ4_Unassisted!$B$6:$B$31</c:f>
              <c:numCache>
                <c:formatCode>dd\-mmm\-yy</c:formatCode>
                <c:ptCount val="26"/>
                <c:pt idx="0">
                  <c:v>46327</c:v>
                </c:pt>
                <c:pt idx="1">
                  <c:v>46341</c:v>
                </c:pt>
                <c:pt idx="2">
                  <c:v>46355</c:v>
                </c:pt>
                <c:pt idx="3">
                  <c:v>46369</c:v>
                </c:pt>
                <c:pt idx="4">
                  <c:v>46383</c:v>
                </c:pt>
                <c:pt idx="5">
                  <c:v>46397</c:v>
                </c:pt>
                <c:pt idx="6">
                  <c:v>46411</c:v>
                </c:pt>
                <c:pt idx="7">
                  <c:v>46425</c:v>
                </c:pt>
                <c:pt idx="8">
                  <c:v>46439</c:v>
                </c:pt>
                <c:pt idx="9">
                  <c:v>46453</c:v>
                </c:pt>
                <c:pt idx="10">
                  <c:v>46467</c:v>
                </c:pt>
                <c:pt idx="11">
                  <c:v>46481</c:v>
                </c:pt>
                <c:pt idx="12">
                  <c:v>46495</c:v>
                </c:pt>
                <c:pt idx="13">
                  <c:v>46509</c:v>
                </c:pt>
                <c:pt idx="14">
                  <c:v>46523</c:v>
                </c:pt>
                <c:pt idx="15">
                  <c:v>46537</c:v>
                </c:pt>
                <c:pt idx="16">
                  <c:v>46551</c:v>
                </c:pt>
                <c:pt idx="17">
                  <c:v>46565</c:v>
                </c:pt>
                <c:pt idx="18">
                  <c:v>46579</c:v>
                </c:pt>
                <c:pt idx="19">
                  <c:v>46593</c:v>
                </c:pt>
                <c:pt idx="20">
                  <c:v>46607</c:v>
                </c:pt>
                <c:pt idx="21">
                  <c:v>46621</c:v>
                </c:pt>
                <c:pt idx="22">
                  <c:v>46635</c:v>
                </c:pt>
                <c:pt idx="23">
                  <c:v>46649</c:v>
                </c:pt>
                <c:pt idx="24">
                  <c:v>46663</c:v>
                </c:pt>
                <c:pt idx="25">
                  <c:v>46677</c:v>
                </c:pt>
              </c:numCache>
            </c:numRef>
          </c:cat>
          <c:val>
            <c:numRef>
              <c:f>LQ4_Unassisted!$G$6:$G$31</c:f>
              <c:numCache>
                <c:formatCode>0.0%</c:formatCode>
                <c:ptCount val="26"/>
                <c:pt idx="0">
                  <c:v>0.51249999999999996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C-49E3-B92A-A7ADCD4309AE}"/>
            </c:ext>
          </c:extLst>
        </c:ser>
        <c:ser>
          <c:idx val="1"/>
          <c:order val="1"/>
          <c:tx>
            <c:v>Assisted</c:v>
          </c:tx>
          <c:spPr>
            <a:solidFill>
              <a:srgbClr val="F4A2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LQ4_Unassisted!$B$6:$B$31</c:f>
              <c:numCache>
                <c:formatCode>dd\-mmm\-yy</c:formatCode>
                <c:ptCount val="26"/>
                <c:pt idx="0">
                  <c:v>46327</c:v>
                </c:pt>
                <c:pt idx="1">
                  <c:v>46341</c:v>
                </c:pt>
                <c:pt idx="2">
                  <c:v>46355</c:v>
                </c:pt>
                <c:pt idx="3">
                  <c:v>46369</c:v>
                </c:pt>
                <c:pt idx="4">
                  <c:v>46383</c:v>
                </c:pt>
                <c:pt idx="5">
                  <c:v>46397</c:v>
                </c:pt>
                <c:pt idx="6">
                  <c:v>46411</c:v>
                </c:pt>
                <c:pt idx="7">
                  <c:v>46425</c:v>
                </c:pt>
                <c:pt idx="8">
                  <c:v>46439</c:v>
                </c:pt>
                <c:pt idx="9">
                  <c:v>46453</c:v>
                </c:pt>
                <c:pt idx="10">
                  <c:v>46467</c:v>
                </c:pt>
                <c:pt idx="11">
                  <c:v>46481</c:v>
                </c:pt>
                <c:pt idx="12">
                  <c:v>46495</c:v>
                </c:pt>
                <c:pt idx="13">
                  <c:v>46509</c:v>
                </c:pt>
                <c:pt idx="14">
                  <c:v>46523</c:v>
                </c:pt>
                <c:pt idx="15">
                  <c:v>46537</c:v>
                </c:pt>
                <c:pt idx="16">
                  <c:v>46551</c:v>
                </c:pt>
                <c:pt idx="17">
                  <c:v>46565</c:v>
                </c:pt>
                <c:pt idx="18">
                  <c:v>46579</c:v>
                </c:pt>
                <c:pt idx="19">
                  <c:v>46593</c:v>
                </c:pt>
                <c:pt idx="20">
                  <c:v>46607</c:v>
                </c:pt>
                <c:pt idx="21">
                  <c:v>46621</c:v>
                </c:pt>
                <c:pt idx="22">
                  <c:v>46635</c:v>
                </c:pt>
                <c:pt idx="23">
                  <c:v>46649</c:v>
                </c:pt>
                <c:pt idx="24">
                  <c:v>46663</c:v>
                </c:pt>
                <c:pt idx="25">
                  <c:v>46677</c:v>
                </c:pt>
              </c:numCache>
            </c:numRef>
          </c:cat>
          <c:val>
            <c:numRef>
              <c:f>LQ4_Unassisted!$H$6:$H$31</c:f>
              <c:numCache>
                <c:formatCode>0.0%</c:formatCode>
                <c:ptCount val="26"/>
                <c:pt idx="0">
                  <c:v>0.78666666666666663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C-49E3-B92A-A7ADCD430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0911"/>
        <c:axId val="83603632"/>
      </c:barChart>
      <c:dateAx>
        <c:axId val="12990911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83603632"/>
        <c:crosses val="autoZero"/>
        <c:auto val="1"/>
        <c:lblOffset val="100"/>
        <c:baseTimeUnit val="days"/>
      </c:dateAx>
      <c:valAx>
        <c:axId val="83603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129909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N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LQ5: Monthly staff attrition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LQ5_Staffing!$B$6:$B$17</c:f>
              <c:numCache>
                <c:formatCode>mmm\-yy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LQ5_Staffing!$F$6:$F$17</c:f>
              <c:numCache>
                <c:formatCode>0.0%</c:formatCode>
                <c:ptCount val="12"/>
                <c:pt idx="0">
                  <c:v>8.6956521739130432E-2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C-4FD5-A1FF-8139044F9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43393"/>
        <c:axId val="92191519"/>
      </c:barChart>
      <c:dateAx>
        <c:axId val="774339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92191519"/>
        <c:crosses val="autoZero"/>
        <c:auto val="1"/>
        <c:lblOffset val="100"/>
        <c:baseTimeUnit val="months"/>
      </c:dateAx>
      <c:valAx>
        <c:axId val="92191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77433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LQ6: Foot traffic → registration conversion by site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Conversion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LQ6_Location!$K$6:$K$9</c:f>
              <c:strCache>
                <c:ptCount val="4"/>
                <c:pt idx="0">
                  <c:v>Market</c:v>
                </c:pt>
                <c:pt idx="1">
                  <c:v>Park</c:v>
                </c:pt>
                <c:pt idx="2">
                  <c:v>Health facility</c:v>
                </c:pt>
                <c:pt idx="3">
                  <c:v>Other</c:v>
                </c:pt>
              </c:strCache>
            </c:strRef>
          </c:cat>
          <c:val>
            <c:numRef>
              <c:f>LQ6_Location!$O$6:$O$9</c:f>
              <c:numCache>
                <c:formatCode>0.0%</c:formatCode>
                <c:ptCount val="4"/>
                <c:pt idx="0">
                  <c:v>0.25833333333333336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3-4F91-81F4-AE480D91C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67699"/>
        <c:axId val="60961208"/>
      </c:barChart>
      <c:catAx>
        <c:axId val="614676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60961208"/>
        <c:crosses val="autoZero"/>
        <c:auto val="1"/>
        <c:lblAlgn val="ctr"/>
        <c:lblOffset val="100"/>
        <c:noMultiLvlLbl val="0"/>
      </c:catAx>
      <c:valAx>
        <c:axId val="60961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614676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LQ7: Method utilization (clients accepting)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Clients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LQ7_Methods!$L$6:$L$12</c:f>
              <c:strCache>
                <c:ptCount val="7"/>
                <c:pt idx="0">
                  <c:v>Pill</c:v>
                </c:pt>
                <c:pt idx="1">
                  <c:v>Injectable</c:v>
                </c:pt>
                <c:pt idx="2">
                  <c:v>Implant</c:v>
                </c:pt>
                <c:pt idx="3">
                  <c:v>IUD</c:v>
                </c:pt>
                <c:pt idx="4">
                  <c:v>Condom</c:v>
                </c:pt>
                <c:pt idx="5">
                  <c:v>Emergency contraception</c:v>
                </c:pt>
                <c:pt idx="6">
                  <c:v>Other</c:v>
                </c:pt>
              </c:strCache>
            </c:strRef>
          </c:cat>
          <c:val>
            <c:numRef>
              <c:f>LQ7_Methods!$M$6:$M$12</c:f>
              <c:numCache>
                <c:formatCode>#,##0</c:formatCode>
                <c:ptCount val="7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A-40B3-99EE-8C500D763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91502"/>
        <c:axId val="17452779"/>
      </c:barChart>
      <c:catAx>
        <c:axId val="377915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17452779"/>
        <c:crosses val="autoZero"/>
        <c:auto val="1"/>
        <c:lblAlgn val="ctr"/>
        <c:lblOffset val="100"/>
        <c:noMultiLvlLbl val="0"/>
      </c:catAx>
      <c:valAx>
        <c:axId val="174527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377915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LQ7: Refusal reasons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Refusals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LQ7_Methods!$L$17:$L$22</c:f>
              <c:strCache>
                <c:ptCount val="6"/>
                <c:pt idx="0">
                  <c:v>Fear of side effects</c:v>
                </c:pt>
                <c:pt idx="1">
                  <c:v>Partner opposition</c:v>
                </c:pt>
                <c:pt idx="2">
                  <c:v>Method not available</c:v>
                </c:pt>
                <c:pt idx="3">
                  <c:v>Wants time to think</c:v>
                </c:pt>
                <c:pt idx="4">
                  <c:v>Religious / cultural</c:v>
                </c:pt>
                <c:pt idx="5">
                  <c:v>Other</c:v>
                </c:pt>
              </c:strCache>
            </c:strRef>
          </c:cat>
          <c:val>
            <c:numRef>
              <c:f>LQ7_Methods!$M$17:$M$22</c:f>
              <c:numCache>
                <c:formatCode>#,##0</c:formatCode>
                <c:ptCount val="6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A-4BC8-A88B-3DEF0F2EE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29364"/>
        <c:axId val="5971955"/>
      </c:barChart>
      <c:catAx>
        <c:axId val="887293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5971955"/>
        <c:crosses val="autoZero"/>
        <c:auto val="1"/>
        <c:lblAlgn val="ctr"/>
        <c:lblOffset val="100"/>
        <c:noMultiLvlLbl val="0"/>
      </c:catAx>
      <c:valAx>
        <c:axId val="59719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887293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LQ8: Unit cost per client served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Unit cost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LQ8_Cost!$B$6:$B$17</c:f>
              <c:numCache>
                <c:formatCode>mmm\-yy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LQ8_Cost!$K$6:$K$17</c:f>
              <c:numCache>
                <c:formatCode>#,##0</c:formatCode>
                <c:ptCount val="12"/>
                <c:pt idx="0">
                  <c:v>5084.7457627118647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3-4694-B22A-1E26B1591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17642"/>
        <c:axId val="9141032"/>
      </c:barChart>
      <c:dateAx>
        <c:axId val="4251764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9141032"/>
        <c:crosses val="autoZero"/>
        <c:auto val="1"/>
        <c:lblOffset val="100"/>
        <c:baseTimeUnit val="months"/>
      </c:dateAx>
      <c:valAx>
        <c:axId val="9141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425176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LQ9: SBC channel conversion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Conversion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LQ9_SBC!$I$6:$I$12</c:f>
              <c:strCache>
                <c:ptCount val="7"/>
                <c:pt idx="0">
                  <c:v>App (self-referral)</c:v>
                </c:pt>
                <c:pt idx="1">
                  <c:v>Mobilizer</c:v>
                </c:pt>
                <c:pt idx="2">
                  <c:v>Walk-in</c:v>
                </c:pt>
                <c:pt idx="3">
                  <c:v>Social media</c:v>
                </c:pt>
                <c:pt idx="4">
                  <c:v>Radio</c:v>
                </c:pt>
                <c:pt idx="5">
                  <c:v>Community event</c:v>
                </c:pt>
                <c:pt idx="6">
                  <c:v>Digital referral code</c:v>
                </c:pt>
              </c:strCache>
            </c:strRef>
          </c:cat>
          <c:val>
            <c:numRef>
              <c:f>LQ9_SBC!$L$6:$L$12</c:f>
              <c:numCache>
                <c:formatCode>0.0%</c:formatCode>
                <c:ptCount val="7"/>
                <c:pt idx="0">
                  <c:v>0</c:v>
                </c:pt>
                <c:pt idx="1">
                  <c:v>0.47058823529411764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7-4A48-BF19-803016CBA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84882"/>
        <c:axId val="42108813"/>
      </c:barChart>
      <c:catAx>
        <c:axId val="579848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42108813"/>
        <c:crosses val="autoZero"/>
        <c:auto val="1"/>
        <c:lblAlgn val="ctr"/>
        <c:lblOffset val="100"/>
        <c:noMultiLvlLbl val="0"/>
      </c:catAx>
      <c:valAx>
        <c:axId val="421088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579848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LQ10: DHIS2 data-sync success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Sync success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N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LQ10_DHIS2!$B$6:$B$17</c:f>
              <c:numCache>
                <c:formatCode>mmm\-yy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LQ10_DHIS2!$E$6:$E$17</c:f>
              <c:numCache>
                <c:formatCode>0.0%</c:formatCode>
                <c:ptCount val="12"/>
                <c:pt idx="0">
                  <c:v>0.94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2-4B54-A3CE-BB3FA9D6A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45799"/>
        <c:axId val="28877183"/>
      </c:barChart>
      <c:dateAx>
        <c:axId val="8004579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28877183"/>
        <c:crosses val="autoZero"/>
        <c:auto val="1"/>
        <c:lblOffset val="100"/>
        <c:baseTimeUnit val="months"/>
      </c:dateAx>
      <c:valAx>
        <c:axId val="28877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800457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LQ11: Co-financing target vs achieved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 ($)</c:v>
          </c:tx>
          <c:spPr>
            <a:solidFill>
              <a:srgbClr val="1F7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LQ11_Sustain!$I$6:$I$7</c:f>
              <c:strCache>
                <c:ptCount val="2"/>
                <c:pt idx="0">
                  <c:v>Total co-financing target ($)</c:v>
                </c:pt>
                <c:pt idx="1">
                  <c:v>Total co-financing achieved ($)</c:v>
                </c:pt>
              </c:strCache>
            </c:strRef>
          </c:cat>
          <c:val>
            <c:numRef>
              <c:f>LQ11_Sustain!$J$6:$J$7</c:f>
              <c:numCache>
                <c:formatCode>#,##0</c:formatCode>
                <c:ptCount val="2"/>
                <c:pt idx="0">
                  <c:v>50000</c:v>
                </c:pt>
                <c:pt idx="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5-4217-9B60-212608D29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45777"/>
        <c:axId val="677509"/>
      </c:barChart>
      <c:catAx>
        <c:axId val="24645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677509"/>
        <c:crosses val="autoZero"/>
        <c:auto val="1"/>
        <c:lblAlgn val="ctr"/>
        <c:lblOffset val="100"/>
        <c:noMultiLvlLbl val="0"/>
      </c:catAx>
      <c:valAx>
        <c:axId val="677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NG"/>
          </a:p>
        </c:txPr>
        <c:crossAx val="246457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130680</xdr:rowOff>
    </xdr:from>
    <xdr:to>
      <xdr:col>7</xdr:col>
      <xdr:colOff>651960</xdr:colOff>
      <xdr:row>37</xdr:row>
      <xdr:rowOff>34200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130680</xdr:rowOff>
    </xdr:from>
    <xdr:to>
      <xdr:col>15</xdr:col>
      <xdr:colOff>652320</xdr:colOff>
      <xdr:row>37</xdr:row>
      <xdr:rowOff>34200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130680</xdr:rowOff>
    </xdr:from>
    <xdr:to>
      <xdr:col>7</xdr:col>
      <xdr:colOff>651960</xdr:colOff>
      <xdr:row>54</xdr:row>
      <xdr:rowOff>34560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38</xdr:row>
      <xdr:rowOff>130680</xdr:rowOff>
    </xdr:from>
    <xdr:to>
      <xdr:col>15</xdr:col>
      <xdr:colOff>652320</xdr:colOff>
      <xdr:row>54</xdr:row>
      <xdr:rowOff>34560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55</xdr:row>
      <xdr:rowOff>130680</xdr:rowOff>
    </xdr:from>
    <xdr:to>
      <xdr:col>7</xdr:col>
      <xdr:colOff>651960</xdr:colOff>
      <xdr:row>71</xdr:row>
      <xdr:rowOff>34560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55</xdr:row>
      <xdr:rowOff>130680</xdr:rowOff>
    </xdr:from>
    <xdr:to>
      <xdr:col>15</xdr:col>
      <xdr:colOff>652320</xdr:colOff>
      <xdr:row>71</xdr:row>
      <xdr:rowOff>34560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72</xdr:row>
      <xdr:rowOff>131040</xdr:rowOff>
    </xdr:from>
    <xdr:to>
      <xdr:col>7</xdr:col>
      <xdr:colOff>651960</xdr:colOff>
      <xdr:row>88</xdr:row>
      <xdr:rowOff>34560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72</xdr:row>
      <xdr:rowOff>131040</xdr:rowOff>
    </xdr:from>
    <xdr:to>
      <xdr:col>15</xdr:col>
      <xdr:colOff>652320</xdr:colOff>
      <xdr:row>88</xdr:row>
      <xdr:rowOff>34560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89</xdr:row>
      <xdr:rowOff>131040</xdr:rowOff>
    </xdr:from>
    <xdr:to>
      <xdr:col>7</xdr:col>
      <xdr:colOff>651960</xdr:colOff>
      <xdr:row>105</xdr:row>
      <xdr:rowOff>34560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</xdr:col>
      <xdr:colOff>0</xdr:colOff>
      <xdr:row>89</xdr:row>
      <xdr:rowOff>131040</xdr:rowOff>
    </xdr:from>
    <xdr:to>
      <xdr:col>15</xdr:col>
      <xdr:colOff>652320</xdr:colOff>
      <xdr:row>105</xdr:row>
      <xdr:rowOff>34560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106</xdr:row>
      <xdr:rowOff>131040</xdr:rowOff>
    </xdr:from>
    <xdr:to>
      <xdr:col>7</xdr:col>
      <xdr:colOff>651960</xdr:colOff>
      <xdr:row>122</xdr:row>
      <xdr:rowOff>34560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0</xdr:colOff>
      <xdr:row>106</xdr:row>
      <xdr:rowOff>131040</xdr:rowOff>
    </xdr:from>
    <xdr:to>
      <xdr:col>15</xdr:col>
      <xdr:colOff>652320</xdr:colOff>
      <xdr:row>122</xdr:row>
      <xdr:rowOff>34560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123</xdr:row>
      <xdr:rowOff>130680</xdr:rowOff>
    </xdr:from>
    <xdr:to>
      <xdr:col>7</xdr:col>
      <xdr:colOff>651960</xdr:colOff>
      <xdr:row>139</xdr:row>
      <xdr:rowOff>34200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123</xdr:row>
      <xdr:rowOff>130680</xdr:rowOff>
    </xdr:from>
    <xdr:to>
      <xdr:col>15</xdr:col>
      <xdr:colOff>652320</xdr:colOff>
      <xdr:row>139</xdr:row>
      <xdr:rowOff>34200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7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2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2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6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1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5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0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4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9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3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7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2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2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6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1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5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10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4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Relationship Id="rId9" Type="http://schemas.openxmlformats.org/officeDocument/2006/relationships/hyperlink" Target="../Users/Administrator/AppData/Local/Microsoft/Olk/Attachments/ooa-2c75ae0e-f667-4598-928d-30df19005a71/cdff611a0413ebc27433a0b673207860bbf759c812d0337ff1172a6461bf654a/Benin_City_Learning_Data_Templat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B29"/>
  <sheetViews>
    <sheetView showGridLines="0" tabSelected="1" zoomScaleNormal="100" workbookViewId="0"/>
  </sheetViews>
  <sheetFormatPr defaultColWidth="8.6328125" defaultRowHeight="14.5" x14ac:dyDescent="0.35"/>
  <cols>
    <col min="1" max="1" width="26" customWidth="1"/>
    <col min="2" max="2" width="100" customWidth="1"/>
  </cols>
  <sheetData>
    <row r="1" spans="1:2" ht="18" x14ac:dyDescent="0.4">
      <c r="A1" s="8" t="s">
        <v>0</v>
      </c>
    </row>
    <row r="2" spans="1:2" x14ac:dyDescent="0.35">
      <c r="A2" s="9" t="s">
        <v>1</v>
      </c>
    </row>
    <row r="4" spans="1:2" x14ac:dyDescent="0.35">
      <c r="A4" s="10" t="s">
        <v>2</v>
      </c>
      <c r="B4" s="11"/>
    </row>
    <row r="5" spans="1:2" ht="25" x14ac:dyDescent="0.35">
      <c r="A5" s="12" t="s">
        <v>3</v>
      </c>
      <c r="B5" s="13" t="s">
        <v>4</v>
      </c>
    </row>
    <row r="6" spans="1:2" ht="25" x14ac:dyDescent="0.35">
      <c r="A6" s="12" t="s">
        <v>5</v>
      </c>
      <c r="B6" s="13" t="s">
        <v>6</v>
      </c>
    </row>
    <row r="7" spans="1:2" x14ac:dyDescent="0.35">
      <c r="A7" s="12" t="s">
        <v>7</v>
      </c>
      <c r="B7" s="13" t="s">
        <v>8</v>
      </c>
    </row>
    <row r="8" spans="1:2" ht="25" x14ac:dyDescent="0.35">
      <c r="A8" s="12" t="s">
        <v>9</v>
      </c>
      <c r="B8" s="13" t="s">
        <v>10</v>
      </c>
    </row>
    <row r="10" spans="1:2" x14ac:dyDescent="0.35">
      <c r="A10" s="10" t="s">
        <v>11</v>
      </c>
      <c r="B10" s="11"/>
    </row>
    <row r="11" spans="1:2" x14ac:dyDescent="0.35">
      <c r="A11" s="14" t="s">
        <v>12</v>
      </c>
      <c r="B11" s="13" t="s">
        <v>13</v>
      </c>
    </row>
    <row r="12" spans="1:2" x14ac:dyDescent="0.35">
      <c r="A12" s="15" t="s">
        <v>14</v>
      </c>
      <c r="B12" s="13" t="s">
        <v>15</v>
      </c>
    </row>
    <row r="13" spans="1:2" x14ac:dyDescent="0.35">
      <c r="A13" s="12" t="s">
        <v>16</v>
      </c>
      <c r="B13" s="13" t="s">
        <v>17</v>
      </c>
    </row>
    <row r="15" spans="1:2" x14ac:dyDescent="0.35">
      <c r="A15" s="10" t="s">
        <v>18</v>
      </c>
      <c r="B15" s="11"/>
    </row>
    <row r="16" spans="1:2" x14ac:dyDescent="0.35">
      <c r="A16" s="12" t="s">
        <v>19</v>
      </c>
      <c r="B16" s="13" t="s">
        <v>20</v>
      </c>
    </row>
    <row r="17" spans="1:2" ht="25" x14ac:dyDescent="0.35">
      <c r="A17" s="12" t="s">
        <v>21</v>
      </c>
      <c r="B17" s="13" t="s">
        <v>22</v>
      </c>
    </row>
    <row r="18" spans="1:2" ht="25" x14ac:dyDescent="0.35">
      <c r="A18" s="12" t="s">
        <v>23</v>
      </c>
      <c r="B18" s="13" t="s">
        <v>24</v>
      </c>
    </row>
    <row r="19" spans="1:2" x14ac:dyDescent="0.35">
      <c r="A19" s="12" t="s">
        <v>25</v>
      </c>
      <c r="B19" s="13" t="s">
        <v>26</v>
      </c>
    </row>
    <row r="20" spans="1:2" ht="25" x14ac:dyDescent="0.35">
      <c r="A20" s="12" t="s">
        <v>27</v>
      </c>
      <c r="B20" s="13" t="s">
        <v>28</v>
      </c>
    </row>
    <row r="22" spans="1:2" x14ac:dyDescent="0.35">
      <c r="A22" s="10" t="s">
        <v>29</v>
      </c>
      <c r="B22" s="11"/>
    </row>
    <row r="23" spans="1:2" ht="25" x14ac:dyDescent="0.35">
      <c r="A23" s="12" t="s">
        <v>30</v>
      </c>
      <c r="B23" s="13" t="s">
        <v>31</v>
      </c>
    </row>
    <row r="24" spans="1:2" ht="25" x14ac:dyDescent="0.35">
      <c r="A24" s="12" t="s">
        <v>32</v>
      </c>
      <c r="B24" s="13" t="s">
        <v>33</v>
      </c>
    </row>
    <row r="25" spans="1:2" x14ac:dyDescent="0.35">
      <c r="A25" s="12" t="s">
        <v>34</v>
      </c>
      <c r="B25" s="13" t="s">
        <v>35</v>
      </c>
    </row>
    <row r="26" spans="1:2" x14ac:dyDescent="0.35">
      <c r="A26" s="12" t="s">
        <v>36</v>
      </c>
      <c r="B26" s="13" t="s">
        <v>37</v>
      </c>
    </row>
    <row r="27" spans="1:2" ht="25" x14ac:dyDescent="0.35">
      <c r="A27" s="12" t="s">
        <v>38</v>
      </c>
      <c r="B27" s="13" t="s">
        <v>39</v>
      </c>
    </row>
    <row r="28" spans="1:2" x14ac:dyDescent="0.35">
      <c r="A28" s="12" t="s">
        <v>40</v>
      </c>
      <c r="B28" s="13" t="s">
        <v>41</v>
      </c>
    </row>
    <row r="29" spans="1:2" x14ac:dyDescent="0.35">
      <c r="A29" s="12" t="s">
        <v>42</v>
      </c>
      <c r="B29" s="13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7A8C"/>
  </sheetPr>
  <dimension ref="A1:P22"/>
  <sheetViews>
    <sheetView showGridLines="0" topLeftCell="A4" zoomScaleNormal="100" workbookViewId="0">
      <selection activeCell="E14" sqref="E14:G14"/>
    </sheetView>
  </sheetViews>
  <sheetFormatPr defaultColWidth="8.6328125" defaultRowHeight="14.5" x14ac:dyDescent="0.35"/>
  <cols>
    <col min="1" max="16" width="14" customWidth="1"/>
  </cols>
  <sheetData>
    <row r="1" spans="1:16" ht="20" x14ac:dyDescent="0.4">
      <c r="A1" s="16" t="s">
        <v>44</v>
      </c>
    </row>
    <row r="2" spans="1:16" x14ac:dyDescent="0.35">
      <c r="A2" s="17" t="s">
        <v>45</v>
      </c>
    </row>
    <row r="3" spans="1:16" ht="30" customHeight="1" x14ac:dyDescent="0.35">
      <c r="A3" s="7" t="s">
        <v>46</v>
      </c>
      <c r="B3" s="7"/>
      <c r="C3" s="7"/>
      <c r="D3" s="7" t="s">
        <v>47</v>
      </c>
      <c r="E3" s="7"/>
      <c r="F3" s="7"/>
      <c r="G3" s="7" t="s">
        <v>48</v>
      </c>
      <c r="H3" s="7"/>
      <c r="I3" s="7"/>
      <c r="J3" s="7" t="s">
        <v>49</v>
      </c>
      <c r="K3" s="7"/>
      <c r="L3" s="7"/>
      <c r="M3" s="7" t="s">
        <v>50</v>
      </c>
      <c r="N3" s="7"/>
      <c r="O3" s="7"/>
    </row>
    <row r="4" spans="1:16" x14ac:dyDescent="0.35">
      <c r="A4" s="6">
        <f>IFERROR(LOOKUP(2,1/(Headline!$I$6:$I$17&lt;&gt;""),Headline!$I$6:$I$17),"")</f>
        <v>0.39548022598870058</v>
      </c>
      <c r="B4" s="6"/>
      <c r="C4" s="6"/>
      <c r="D4" s="5">
        <f>Settings!$B$7</f>
        <v>0.6</v>
      </c>
      <c r="E4" s="5"/>
      <c r="F4" s="5"/>
      <c r="G4" s="4">
        <f>SUM(Headline!$G$6:$G$17)</f>
        <v>885</v>
      </c>
      <c r="H4" s="4"/>
      <c r="I4" s="4"/>
      <c r="J4" s="4">
        <f>SUM(Headline!$H$6:$H$17)</f>
        <v>350</v>
      </c>
      <c r="K4" s="4"/>
      <c r="L4" s="4"/>
      <c r="M4" s="6">
        <f>IF(G4&gt;0,J4/G4,"")</f>
        <v>0.39548022598870058</v>
      </c>
      <c r="N4" s="6"/>
      <c r="O4" s="6"/>
    </row>
    <row r="5" spans="1:16" x14ac:dyDescent="0.35">
      <c r="A5" s="6"/>
      <c r="B5" s="6"/>
      <c r="C5" s="6"/>
      <c r="D5" s="5"/>
      <c r="E5" s="5"/>
      <c r="F5" s="5"/>
      <c r="G5" s="4"/>
      <c r="H5" s="4"/>
      <c r="I5" s="4"/>
      <c r="J5" s="4"/>
      <c r="K5" s="4"/>
      <c r="L5" s="4"/>
      <c r="M5" s="6"/>
      <c r="N5" s="6"/>
      <c r="O5" s="6"/>
    </row>
    <row r="7" spans="1:16" ht="15.5" x14ac:dyDescent="0.35">
      <c r="A7" s="18" t="s">
        <v>51</v>
      </c>
    </row>
    <row r="8" spans="1:16" ht="15" customHeight="1" x14ac:dyDescent="0.35">
      <c r="A8" s="19" t="s">
        <v>52</v>
      </c>
      <c r="B8" s="3" t="s">
        <v>53</v>
      </c>
      <c r="C8" s="3"/>
      <c r="D8" s="3"/>
      <c r="E8" s="3" t="s">
        <v>54</v>
      </c>
      <c r="F8" s="3"/>
      <c r="G8" s="3"/>
      <c r="H8" s="19" t="s">
        <v>55</v>
      </c>
      <c r="I8" s="19" t="s">
        <v>56</v>
      </c>
      <c r="J8" s="19" t="s">
        <v>57</v>
      </c>
      <c r="K8" s="3" t="s">
        <v>58</v>
      </c>
      <c r="L8" s="3"/>
      <c r="M8" s="3"/>
      <c r="N8" s="3" t="s">
        <v>59</v>
      </c>
      <c r="O8" s="3"/>
      <c r="P8" s="3"/>
    </row>
    <row r="9" spans="1:16" ht="27.75" customHeight="1" x14ac:dyDescent="0.35">
      <c r="A9" s="20" t="s">
        <v>60</v>
      </c>
      <c r="B9" s="2" t="s">
        <v>61</v>
      </c>
      <c r="C9" s="2"/>
      <c r="D9" s="2"/>
      <c r="E9" s="2" t="s">
        <v>62</v>
      </c>
      <c r="F9" s="2"/>
      <c r="G9" s="2"/>
      <c r="H9" s="21">
        <f>IFERROR(LOOKUP(2,1/(Headline!$I$6:$I$17&lt;&gt;""),Headline!$I$6:$I$17),"")</f>
        <v>0.39548022598870058</v>
      </c>
      <c r="I9" s="22">
        <f>Settings!$B$7</f>
        <v>0.6</v>
      </c>
      <c r="J9" s="20" t="str">
        <f>IF(H9="","No data",IF(H9&gt;=I9,"On track","Below target"))</f>
        <v>Below target</v>
      </c>
      <c r="K9" s="1" t="s">
        <v>21</v>
      </c>
      <c r="L9" s="1"/>
      <c r="M9" s="1"/>
      <c r="N9" s="2" t="s">
        <v>63</v>
      </c>
      <c r="O9" s="2"/>
      <c r="P9" s="2"/>
    </row>
    <row r="10" spans="1:16" ht="27.75" customHeight="1" x14ac:dyDescent="0.35">
      <c r="A10" s="20">
        <v>1</v>
      </c>
      <c r="B10" s="2" t="s">
        <v>64</v>
      </c>
      <c r="C10" s="2"/>
      <c r="D10" s="2"/>
      <c r="E10" s="2" t="s">
        <v>65</v>
      </c>
      <c r="F10" s="2"/>
      <c r="G10" s="2"/>
      <c r="H10" s="23">
        <f>IFERROR(LOOKUP(2,1/(LQ1_Experience!$F$6:$F$17&lt;&gt;""),LQ1_Experience!$F$6:$F$17),"")</f>
        <v>4.3</v>
      </c>
      <c r="I10" s="24">
        <f>Settings!$B$8</f>
        <v>4</v>
      </c>
      <c r="J10" s="20" t="str">
        <f>IF(H10="","No data",IF(H10&gt;=I10,"On track","Below target"))</f>
        <v>On track</v>
      </c>
      <c r="K10" s="1" t="s">
        <v>66</v>
      </c>
      <c r="L10" s="1"/>
      <c r="M10" s="1"/>
      <c r="N10" s="2" t="s">
        <v>63</v>
      </c>
      <c r="O10" s="2"/>
      <c r="P10" s="2"/>
    </row>
    <row r="11" spans="1:16" ht="27.75" customHeight="1" x14ac:dyDescent="0.35">
      <c r="A11" s="20">
        <v>2</v>
      </c>
      <c r="B11" s="2" t="s">
        <v>67</v>
      </c>
      <c r="C11" s="2"/>
      <c r="D11" s="2"/>
      <c r="E11" s="2" t="s">
        <v>68</v>
      </c>
      <c r="F11" s="2"/>
      <c r="G11" s="2"/>
      <c r="H11" s="21">
        <f>IF(N(LQ2_Funnel!M6)&gt;0,LQ2_Funnel!M9/LQ2_Funnel!M6,"")</f>
        <v>0.35</v>
      </c>
      <c r="I11" s="22" t="s">
        <v>69</v>
      </c>
      <c r="J11" s="20" t="str">
        <f>IF(H11="","No data","Monitor")</f>
        <v>Monitor</v>
      </c>
      <c r="K11" s="1" t="s">
        <v>70</v>
      </c>
      <c r="L11" s="1"/>
      <c r="M11" s="1"/>
      <c r="N11" s="2" t="s">
        <v>71</v>
      </c>
      <c r="O11" s="2"/>
      <c r="P11" s="2"/>
    </row>
    <row r="12" spans="1:16" ht="27.75" customHeight="1" x14ac:dyDescent="0.35">
      <c r="A12" s="20">
        <v>3</v>
      </c>
      <c r="B12" s="2" t="s">
        <v>72</v>
      </c>
      <c r="C12" s="2"/>
      <c r="D12" s="2"/>
      <c r="E12" s="2" t="s">
        <v>73</v>
      </c>
      <c r="F12" s="2"/>
      <c r="G12" s="2"/>
      <c r="H12" s="25">
        <f>IFERROR(LOOKUP(2,1/(LQ3_Satisfaction!$G$6:$G$17&lt;&gt;""),LQ3_Satisfaction!$G$6:$G$17),"")</f>
        <v>45</v>
      </c>
      <c r="I12" s="26">
        <f>Settings!$B$10</f>
        <v>40</v>
      </c>
      <c r="J12" s="20" t="str">
        <f>IF(H12="","No data",IF(H12&gt;=I12,"On track","Below target"))</f>
        <v>On track</v>
      </c>
      <c r="K12" s="1" t="s">
        <v>74</v>
      </c>
      <c r="L12" s="1"/>
      <c r="M12" s="1"/>
      <c r="N12" s="2" t="s">
        <v>63</v>
      </c>
      <c r="O12" s="2"/>
      <c r="P12" s="2"/>
    </row>
    <row r="13" spans="1:16" ht="27.75" customHeight="1" x14ac:dyDescent="0.35">
      <c r="A13" s="20">
        <v>4</v>
      </c>
      <c r="B13" s="2" t="s">
        <v>75</v>
      </c>
      <c r="C13" s="2"/>
      <c r="D13" s="2"/>
      <c r="E13" s="2" t="s">
        <v>76</v>
      </c>
      <c r="F13" s="2"/>
      <c r="G13" s="2"/>
      <c r="H13" s="21">
        <f>IFERROR(LOOKUP(2,1/(LQ4_Unassisted!$G$6:$G$31&lt;&gt;""),LQ4_Unassisted!$G$6:$G$31),"")</f>
        <v>0.51249999999999996</v>
      </c>
      <c r="I13" s="22">
        <f>Settings!$B$16</f>
        <v>0.5</v>
      </c>
      <c r="J13" s="20" t="str">
        <f>IF(H13="","No data",IF(H13&gt;=I13,"On track","Below target"))</f>
        <v>On track</v>
      </c>
      <c r="K13" s="1" t="s">
        <v>77</v>
      </c>
      <c r="L13" s="1"/>
      <c r="M13" s="1"/>
      <c r="N13" s="2" t="s">
        <v>78</v>
      </c>
      <c r="O13" s="2"/>
      <c r="P13" s="2"/>
    </row>
    <row r="14" spans="1:16" ht="27.75" customHeight="1" x14ac:dyDescent="0.35">
      <c r="A14" s="20">
        <v>5</v>
      </c>
      <c r="B14" s="2" t="s">
        <v>79</v>
      </c>
      <c r="C14" s="2"/>
      <c r="D14" s="2"/>
      <c r="E14" s="2" t="s">
        <v>80</v>
      </c>
      <c r="F14" s="2"/>
      <c r="G14" s="2"/>
      <c r="H14" s="21">
        <f>IFERROR(LOOKUP(2,1/(LQ5_Staffing!$F$6:$F$17&lt;&gt;""),LQ5_Staffing!$F$6:$F$17),"")</f>
        <v>8.6956521739130432E-2</v>
      </c>
      <c r="I14" s="22">
        <f>Settings!$B$12</f>
        <v>0.05</v>
      </c>
      <c r="J14" s="20" t="str">
        <f>IF(H14="","No data",IF(H14&lt;=I14,"On track","Above limit"))</f>
        <v>Above limit</v>
      </c>
      <c r="K14" s="1" t="s">
        <v>81</v>
      </c>
      <c r="L14" s="1"/>
      <c r="M14" s="1"/>
      <c r="N14" s="2" t="s">
        <v>63</v>
      </c>
      <c r="O14" s="2"/>
      <c r="P14" s="2"/>
    </row>
    <row r="15" spans="1:16" ht="27.75" customHeight="1" x14ac:dyDescent="0.35">
      <c r="A15" s="20">
        <v>6</v>
      </c>
      <c r="B15" s="2" t="s">
        <v>82</v>
      </c>
      <c r="C15" s="2"/>
      <c r="D15" s="2"/>
      <c r="E15" s="2" t="s">
        <v>83</v>
      </c>
      <c r="F15" s="2"/>
      <c r="G15" s="2"/>
      <c r="H15" s="27" t="str">
        <f>IF(MAX(LQ6_Location!$O$6:$O$9)=0,"",INDEX(LQ6_Location!$K$6:$K$9,MATCH(MAX(LQ6_Location!$O$6:$O$9),LQ6_Location!$O$6:$O$9,0)))</f>
        <v>Market</v>
      </c>
      <c r="I15" s="28" t="s">
        <v>69</v>
      </c>
      <c r="J15" s="20" t="str">
        <f>IF(H15="","No data","Monitor")</f>
        <v>Monitor</v>
      </c>
      <c r="K15" s="1" t="s">
        <v>84</v>
      </c>
      <c r="L15" s="1"/>
      <c r="M15" s="1"/>
      <c r="N15" s="2" t="s">
        <v>71</v>
      </c>
      <c r="O15" s="2"/>
      <c r="P15" s="2"/>
    </row>
    <row r="16" spans="1:16" ht="27.75" customHeight="1" x14ac:dyDescent="0.35">
      <c r="A16" s="20">
        <v>7</v>
      </c>
      <c r="B16" s="2" t="s">
        <v>85</v>
      </c>
      <c r="C16" s="2"/>
      <c r="D16" s="2"/>
      <c r="E16" s="2" t="s">
        <v>86</v>
      </c>
      <c r="F16" s="2"/>
      <c r="G16" s="2"/>
      <c r="H16" s="27" t="str">
        <f>IF(MAX(LQ7_Methods!$M$6:$M$12)=0,"",INDEX(LQ7_Methods!$L$6:$L$12,MATCH(MAX(LQ7_Methods!$M$6:$M$12),LQ7_Methods!$M$6:$M$12,0)))</f>
        <v>Injectable</v>
      </c>
      <c r="I16" s="28" t="s">
        <v>69</v>
      </c>
      <c r="J16" s="20" t="str">
        <f>IF(H16="","No data","Monitor")</f>
        <v>Monitor</v>
      </c>
      <c r="K16" s="1" t="s">
        <v>87</v>
      </c>
      <c r="L16" s="1"/>
      <c r="M16" s="1"/>
      <c r="N16" s="2" t="s">
        <v>63</v>
      </c>
      <c r="O16" s="2"/>
      <c r="P16" s="2"/>
    </row>
    <row r="17" spans="1:16" ht="27.75" customHeight="1" x14ac:dyDescent="0.35">
      <c r="A17" s="20">
        <v>8</v>
      </c>
      <c r="B17" s="2" t="s">
        <v>88</v>
      </c>
      <c r="C17" s="2"/>
      <c r="D17" s="2"/>
      <c r="E17" s="2" t="s">
        <v>89</v>
      </c>
      <c r="F17" s="2"/>
      <c r="G17" s="2"/>
      <c r="H17" s="29">
        <f>IFERROR(LOOKUP(2,1/(LQ8_Cost!$K$6:$K$17&lt;&gt;""),LQ8_Cost!$K$6:$K$17),"")</f>
        <v>5084.7457627118647</v>
      </c>
      <c r="I17" s="30" t="s">
        <v>69</v>
      </c>
      <c r="J17" s="20" t="str">
        <f>IF(H17="","No data","Monitor")</f>
        <v>Monitor</v>
      </c>
      <c r="K17" s="1" t="s">
        <v>90</v>
      </c>
      <c r="L17" s="1"/>
      <c r="M17" s="1"/>
      <c r="N17" s="2" t="s">
        <v>63</v>
      </c>
      <c r="O17" s="2"/>
      <c r="P17" s="2"/>
    </row>
    <row r="18" spans="1:16" ht="27.75" customHeight="1" x14ac:dyDescent="0.35">
      <c r="A18" s="20">
        <v>9</v>
      </c>
      <c r="B18" s="2" t="s">
        <v>91</v>
      </c>
      <c r="C18" s="2"/>
      <c r="D18" s="2"/>
      <c r="E18" s="2" t="s">
        <v>92</v>
      </c>
      <c r="F18" s="2"/>
      <c r="G18" s="2"/>
      <c r="H18" s="27" t="str">
        <f>IF(MAX(LQ9_SBC!$L$6:$L$12)=0,"",INDEX(LQ9_SBC!$I$6:$I$12,MATCH(MAX(LQ9_SBC!$L$6:$L$12),LQ9_SBC!$L$6:$L$12,0)))</f>
        <v>Mobilizer</v>
      </c>
      <c r="I18" s="28" t="s">
        <v>69</v>
      </c>
      <c r="J18" s="20" t="str">
        <f>IF(H18="","No data","Monitor")</f>
        <v>Monitor</v>
      </c>
      <c r="K18" s="1" t="s">
        <v>93</v>
      </c>
      <c r="L18" s="1"/>
      <c r="M18" s="1"/>
      <c r="N18" s="2" t="s">
        <v>94</v>
      </c>
      <c r="O18" s="2"/>
      <c r="P18" s="2"/>
    </row>
    <row r="19" spans="1:16" ht="27.75" customHeight="1" x14ac:dyDescent="0.35">
      <c r="A19" s="20">
        <v>10</v>
      </c>
      <c r="B19" s="2" t="s">
        <v>95</v>
      </c>
      <c r="C19" s="2"/>
      <c r="D19" s="2"/>
      <c r="E19" s="2" t="s">
        <v>96</v>
      </c>
      <c r="F19" s="2"/>
      <c r="G19" s="2"/>
      <c r="H19" s="21">
        <f>IFERROR(LOOKUP(2,1/(LQ10_DHIS2!$E$6:$E$17&lt;&gt;""),LQ10_DHIS2!$E$6:$E$17),"")</f>
        <v>0.94</v>
      </c>
      <c r="I19" s="22">
        <f>Settings!$B$13</f>
        <v>0.95</v>
      </c>
      <c r="J19" s="20" t="str">
        <f>IF(H19="","No data",IF(H19&gt;=I19,"On track","Below target"))</f>
        <v>Below target</v>
      </c>
      <c r="K19" s="1" t="s">
        <v>97</v>
      </c>
      <c r="L19" s="1"/>
      <c r="M19" s="1"/>
      <c r="N19" s="2" t="s">
        <v>63</v>
      </c>
      <c r="O19" s="2"/>
      <c r="P19" s="2"/>
    </row>
    <row r="20" spans="1:16" ht="27.75" customHeight="1" x14ac:dyDescent="0.35">
      <c r="A20" s="20">
        <v>11</v>
      </c>
      <c r="B20" s="2" t="s">
        <v>98</v>
      </c>
      <c r="C20" s="2"/>
      <c r="D20" s="2"/>
      <c r="E20" s="2" t="s">
        <v>99</v>
      </c>
      <c r="F20" s="2"/>
      <c r="G20" s="2"/>
      <c r="H20" s="21">
        <f>IF(N(LQ11_Sustain!J6)&gt;0,LQ11_Sustain!J7/LQ11_Sustain!J6,"")</f>
        <v>0.4</v>
      </c>
      <c r="I20" s="22" t="s">
        <v>69</v>
      </c>
      <c r="J20" s="20" t="str">
        <f>IF(H20="","No data","Monitor")</f>
        <v>Monitor</v>
      </c>
      <c r="K20" s="1" t="s">
        <v>100</v>
      </c>
      <c r="L20" s="1"/>
      <c r="M20" s="1"/>
      <c r="N20" s="2" t="s">
        <v>101</v>
      </c>
      <c r="O20" s="2"/>
      <c r="P20" s="2"/>
    </row>
    <row r="22" spans="1:16" ht="15.5" x14ac:dyDescent="0.35">
      <c r="A22" s="18" t="s">
        <v>102</v>
      </c>
    </row>
  </sheetData>
  <mergeCells count="62">
    <mergeCell ref="B20:D20"/>
    <mergeCell ref="E20:G20"/>
    <mergeCell ref="K20:M20"/>
    <mergeCell ref="N20:P20"/>
    <mergeCell ref="B18:D18"/>
    <mergeCell ref="E18:G18"/>
    <mergeCell ref="K18:M18"/>
    <mergeCell ref="N18:P18"/>
    <mergeCell ref="B19:D19"/>
    <mergeCell ref="E19:G19"/>
    <mergeCell ref="K19:M19"/>
    <mergeCell ref="N19:P19"/>
    <mergeCell ref="B16:D16"/>
    <mergeCell ref="E16:G16"/>
    <mergeCell ref="K16:M16"/>
    <mergeCell ref="N16:P16"/>
    <mergeCell ref="B17:D17"/>
    <mergeCell ref="E17:G17"/>
    <mergeCell ref="K17:M17"/>
    <mergeCell ref="N17:P17"/>
    <mergeCell ref="B14:D14"/>
    <mergeCell ref="E14:G14"/>
    <mergeCell ref="K14:M14"/>
    <mergeCell ref="N14:P14"/>
    <mergeCell ref="B15:D15"/>
    <mergeCell ref="E15:G15"/>
    <mergeCell ref="K15:M15"/>
    <mergeCell ref="N15:P15"/>
    <mergeCell ref="B12:D12"/>
    <mergeCell ref="E12:G12"/>
    <mergeCell ref="K12:M12"/>
    <mergeCell ref="N12:P12"/>
    <mergeCell ref="B13:D13"/>
    <mergeCell ref="E13:G13"/>
    <mergeCell ref="K13:M13"/>
    <mergeCell ref="N13:P13"/>
    <mergeCell ref="B10:D10"/>
    <mergeCell ref="E10:G10"/>
    <mergeCell ref="K10:M10"/>
    <mergeCell ref="N10:P10"/>
    <mergeCell ref="B11:D11"/>
    <mergeCell ref="E11:G11"/>
    <mergeCell ref="K11:M11"/>
    <mergeCell ref="N11:P11"/>
    <mergeCell ref="B8:D8"/>
    <mergeCell ref="E8:G8"/>
    <mergeCell ref="K8:M8"/>
    <mergeCell ref="N8:P8"/>
    <mergeCell ref="B9:D9"/>
    <mergeCell ref="E9:G9"/>
    <mergeCell ref="K9:M9"/>
    <mergeCell ref="N9:P9"/>
    <mergeCell ref="A4:C5"/>
    <mergeCell ref="D4:F5"/>
    <mergeCell ref="G4:I5"/>
    <mergeCell ref="J4:L5"/>
    <mergeCell ref="M4:O5"/>
    <mergeCell ref="A3:C3"/>
    <mergeCell ref="D3:F3"/>
    <mergeCell ref="G3:I3"/>
    <mergeCell ref="J3:L3"/>
    <mergeCell ref="M3:O3"/>
  </mergeCells>
  <conditionalFormatting sqref="J9:J20">
    <cfRule type="expression" dxfId="5" priority="2">
      <formula>$J9="On track"</formula>
    </cfRule>
    <cfRule type="expression" dxfId="4" priority="3">
      <formula>OR($J9="Below target",$J9="Above limit")</formula>
    </cfRule>
    <cfRule type="expression" dxfId="3" priority="4">
      <formula>$J9="Monitor"</formula>
    </cfRule>
  </conditionalFormatting>
  <hyperlinks>
    <hyperlink ref="K9" r:id="rId1" location="'Headline'!A1" xr:uid="{00000000-0004-0000-0100-000000000000}"/>
    <hyperlink ref="K10" r:id="rId2" location="'LQ1_Experience'!A1" xr:uid="{00000000-0004-0000-0100-000001000000}"/>
    <hyperlink ref="K11" r:id="rId3" location="'LQ2_Funnel'!A1" xr:uid="{00000000-0004-0000-0100-000002000000}"/>
    <hyperlink ref="K12" r:id="rId4" location="'LQ3_Satisfaction'!A1" xr:uid="{00000000-0004-0000-0100-000003000000}"/>
    <hyperlink ref="K13" r:id="rId5" location="'LQ4_Unassisted'!A1" xr:uid="{00000000-0004-0000-0100-000004000000}"/>
    <hyperlink ref="K14" r:id="rId6" location="'LQ5_Staffing'!A1" xr:uid="{00000000-0004-0000-0100-000005000000}"/>
    <hyperlink ref="K15" r:id="rId7" location="'LQ6_Location'!A1" xr:uid="{00000000-0004-0000-0100-000006000000}"/>
    <hyperlink ref="K16" r:id="rId8" location="'LQ7_Methods'!A1" xr:uid="{00000000-0004-0000-0100-000007000000}"/>
    <hyperlink ref="K17" r:id="rId9" location="'LQ8_Cost'!A1" xr:uid="{00000000-0004-0000-0100-000008000000}"/>
    <hyperlink ref="K18" r:id="rId10" location="'LQ9_SBC'!A1" xr:uid="{00000000-0004-0000-0100-000009000000}"/>
    <hyperlink ref="K19" r:id="rId11" location="'LQ10_DHIS2'!A1" xr:uid="{00000000-0004-0000-0100-00000A000000}"/>
    <hyperlink ref="K20" r:id="rId12" location="'LQ11_Sustain'!A1" xr:uid="{00000000-0004-0000-0100-00000B000000}"/>
  </hyperlinks>
  <pageMargins left="0.75" right="0.75" top="1" bottom="1" header="0.511811023622047" footer="0.511811023622047"/>
  <pageSetup paperSize="9" orientation="portrait" horizontalDpi="300" verticalDpi="300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A1: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2" width="10" customWidth="1"/>
    <col min="3" max="5" width="13" customWidth="1"/>
    <col min="6" max="6" width="14" customWidth="1"/>
    <col min="7" max="9" width="15" customWidth="1"/>
    <col min="10" max="10" width="10" customWidth="1"/>
    <col min="11" max="11" width="15" customWidth="1"/>
    <col min="12" max="12" width="38" customWidth="1"/>
  </cols>
  <sheetData>
    <row r="1" spans="1:12" ht="18" x14ac:dyDescent="0.4">
      <c r="A1" s="8" t="s">
        <v>103</v>
      </c>
    </row>
    <row r="2" spans="1:12" x14ac:dyDescent="0.35">
      <c r="A2" s="9" t="s">
        <v>104</v>
      </c>
    </row>
    <row r="3" spans="1:12" x14ac:dyDescent="0.35">
      <c r="A3" s="31" t="s">
        <v>105</v>
      </c>
    </row>
    <row r="5" spans="1:12" ht="48" customHeight="1" x14ac:dyDescent="0.35">
      <c r="A5" s="19" t="s">
        <v>106</v>
      </c>
      <c r="B5" s="19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9" t="s">
        <v>113</v>
      </c>
      <c r="I5" s="19" t="s">
        <v>114</v>
      </c>
      <c r="J5" s="19" t="s">
        <v>115</v>
      </c>
      <c r="K5" s="19" t="s">
        <v>116</v>
      </c>
      <c r="L5" s="19" t="s">
        <v>117</v>
      </c>
    </row>
    <row r="6" spans="1:12" x14ac:dyDescent="0.35">
      <c r="A6" s="32">
        <v>1</v>
      </c>
      <c r="B6" s="33">
        <f>EDATE(Settings!$B$4,$A6-1)</f>
        <v>46327</v>
      </c>
      <c r="C6" s="34">
        <v>420</v>
      </c>
      <c r="D6" s="34">
        <v>310</v>
      </c>
      <c r="E6" s="34">
        <v>180</v>
      </c>
      <c r="F6" s="34">
        <v>25</v>
      </c>
      <c r="G6" s="35">
        <f t="shared" ref="G6:G17" si="0">IF(COUNT(C6:E6)=0,"",SUM(C6:E6)-N(F6))</f>
        <v>885</v>
      </c>
      <c r="H6" s="34">
        <v>350</v>
      </c>
      <c r="I6" s="36">
        <f t="shared" ref="I6:I17" si="1">IF(AND(ISNUMBER(G6),N(G6)&gt;0,ISNUMBER(H6)),H6/G6,"")</f>
        <v>0.39548022598870058</v>
      </c>
      <c r="J6" s="36">
        <f>Settings!$B$7</f>
        <v>0.6</v>
      </c>
      <c r="K6" s="35">
        <f>SUMIFS(LQ7_Methods!$D$6:$D$105,LQ7_Methods!$A$6:$A$105,$A6)</f>
        <v>120</v>
      </c>
      <c r="L6" s="15" t="str">
        <f t="shared" ref="L6:L17" si="2">IF(H6="","",IF(N(H6)&gt;N(G6),"CHECK: uptake exceeds engaged",IF(AND(K6&gt;0,H6&gt;K6),"CHECK: unique clients exceed methods issued","OK")))</f>
        <v>CHECK: unique clients exceed methods issued</v>
      </c>
    </row>
    <row r="7" spans="1:12" x14ac:dyDescent="0.35">
      <c r="A7" s="32">
        <v>2</v>
      </c>
      <c r="B7" s="33">
        <f>EDATE(Settings!$B$4,$A7-1)</f>
        <v>46357</v>
      </c>
      <c r="C7" s="34"/>
      <c r="D7" s="34"/>
      <c r="E7" s="34"/>
      <c r="F7" s="34"/>
      <c r="G7" s="35" t="str">
        <f t="shared" si="0"/>
        <v/>
      </c>
      <c r="H7" s="34"/>
      <c r="I7" s="36" t="str">
        <f t="shared" si="1"/>
        <v/>
      </c>
      <c r="J7" s="36">
        <f>Settings!$B$7</f>
        <v>0.6</v>
      </c>
      <c r="K7" s="35">
        <f>SUMIFS(LQ7_Methods!$D$6:$D$105,LQ7_Methods!$A$6:$A$105,$A7)</f>
        <v>0</v>
      </c>
      <c r="L7" s="15" t="str">
        <f t="shared" si="2"/>
        <v/>
      </c>
    </row>
    <row r="8" spans="1:12" x14ac:dyDescent="0.35">
      <c r="A8" s="32">
        <v>3</v>
      </c>
      <c r="B8" s="33">
        <f>EDATE(Settings!$B$4,$A8-1)</f>
        <v>46388</v>
      </c>
      <c r="C8" s="34"/>
      <c r="D8" s="34"/>
      <c r="E8" s="34"/>
      <c r="F8" s="34"/>
      <c r="G8" s="35" t="str">
        <f t="shared" si="0"/>
        <v/>
      </c>
      <c r="H8" s="34"/>
      <c r="I8" s="36" t="str">
        <f t="shared" si="1"/>
        <v/>
      </c>
      <c r="J8" s="36">
        <f>Settings!$B$7</f>
        <v>0.6</v>
      </c>
      <c r="K8" s="35">
        <f>SUMIFS(LQ7_Methods!$D$6:$D$105,LQ7_Methods!$A$6:$A$105,$A8)</f>
        <v>0</v>
      </c>
      <c r="L8" s="15" t="str">
        <f t="shared" si="2"/>
        <v/>
      </c>
    </row>
    <row r="9" spans="1:12" x14ac:dyDescent="0.35">
      <c r="A9" s="32">
        <v>4</v>
      </c>
      <c r="B9" s="33">
        <f>EDATE(Settings!$B$4,$A9-1)</f>
        <v>46419</v>
      </c>
      <c r="C9" s="34"/>
      <c r="D9" s="34"/>
      <c r="E9" s="34"/>
      <c r="F9" s="34"/>
      <c r="G9" s="35" t="str">
        <f t="shared" si="0"/>
        <v/>
      </c>
      <c r="H9" s="34"/>
      <c r="I9" s="36" t="str">
        <f t="shared" si="1"/>
        <v/>
      </c>
      <c r="J9" s="36">
        <f>Settings!$B$7</f>
        <v>0.6</v>
      </c>
      <c r="K9" s="35">
        <f>SUMIFS(LQ7_Methods!$D$6:$D$105,LQ7_Methods!$A$6:$A$105,$A9)</f>
        <v>0</v>
      </c>
      <c r="L9" s="15" t="str">
        <f t="shared" si="2"/>
        <v/>
      </c>
    </row>
    <row r="10" spans="1:12" x14ac:dyDescent="0.35">
      <c r="A10" s="32">
        <v>5</v>
      </c>
      <c r="B10" s="33">
        <f>EDATE(Settings!$B$4,$A10-1)</f>
        <v>46447</v>
      </c>
      <c r="C10" s="34"/>
      <c r="D10" s="34"/>
      <c r="E10" s="34"/>
      <c r="F10" s="34"/>
      <c r="G10" s="35" t="str">
        <f t="shared" si="0"/>
        <v/>
      </c>
      <c r="H10" s="34"/>
      <c r="I10" s="36" t="str">
        <f t="shared" si="1"/>
        <v/>
      </c>
      <c r="J10" s="36">
        <f>Settings!$B$7</f>
        <v>0.6</v>
      </c>
      <c r="K10" s="35">
        <f>SUMIFS(LQ7_Methods!$D$6:$D$105,LQ7_Methods!$A$6:$A$105,$A10)</f>
        <v>0</v>
      </c>
      <c r="L10" s="15" t="str">
        <f t="shared" si="2"/>
        <v/>
      </c>
    </row>
    <row r="11" spans="1:12" x14ac:dyDescent="0.35">
      <c r="A11" s="32">
        <v>6</v>
      </c>
      <c r="B11" s="33">
        <f>EDATE(Settings!$B$4,$A11-1)</f>
        <v>46478</v>
      </c>
      <c r="C11" s="34"/>
      <c r="D11" s="34"/>
      <c r="E11" s="34"/>
      <c r="F11" s="34"/>
      <c r="G11" s="35" t="str">
        <f t="shared" si="0"/>
        <v/>
      </c>
      <c r="H11" s="34"/>
      <c r="I11" s="36" t="str">
        <f t="shared" si="1"/>
        <v/>
      </c>
      <c r="J11" s="36">
        <f>Settings!$B$7</f>
        <v>0.6</v>
      </c>
      <c r="K11" s="35">
        <f>SUMIFS(LQ7_Methods!$D$6:$D$105,LQ7_Methods!$A$6:$A$105,$A11)</f>
        <v>0</v>
      </c>
      <c r="L11" s="15" t="str">
        <f t="shared" si="2"/>
        <v/>
      </c>
    </row>
    <row r="12" spans="1:12" x14ac:dyDescent="0.35">
      <c r="A12" s="32">
        <v>7</v>
      </c>
      <c r="B12" s="33">
        <f>EDATE(Settings!$B$4,$A12-1)</f>
        <v>46508</v>
      </c>
      <c r="C12" s="34"/>
      <c r="D12" s="34"/>
      <c r="E12" s="34"/>
      <c r="F12" s="34"/>
      <c r="G12" s="35" t="str">
        <f t="shared" si="0"/>
        <v/>
      </c>
      <c r="H12" s="34"/>
      <c r="I12" s="36" t="str">
        <f t="shared" si="1"/>
        <v/>
      </c>
      <c r="J12" s="36">
        <f>Settings!$B$7</f>
        <v>0.6</v>
      </c>
      <c r="K12" s="35">
        <f>SUMIFS(LQ7_Methods!$D$6:$D$105,LQ7_Methods!$A$6:$A$105,$A12)</f>
        <v>0</v>
      </c>
      <c r="L12" s="15" t="str">
        <f t="shared" si="2"/>
        <v/>
      </c>
    </row>
    <row r="13" spans="1:12" x14ac:dyDescent="0.35">
      <c r="A13" s="32">
        <v>8</v>
      </c>
      <c r="B13" s="33">
        <f>EDATE(Settings!$B$4,$A13-1)</f>
        <v>46539</v>
      </c>
      <c r="C13" s="34"/>
      <c r="D13" s="34"/>
      <c r="E13" s="34"/>
      <c r="F13" s="34"/>
      <c r="G13" s="35" t="str">
        <f t="shared" si="0"/>
        <v/>
      </c>
      <c r="H13" s="34"/>
      <c r="I13" s="36" t="str">
        <f t="shared" si="1"/>
        <v/>
      </c>
      <c r="J13" s="36">
        <f>Settings!$B$7</f>
        <v>0.6</v>
      </c>
      <c r="K13" s="35">
        <f>SUMIFS(LQ7_Methods!$D$6:$D$105,LQ7_Methods!$A$6:$A$105,$A13)</f>
        <v>0</v>
      </c>
      <c r="L13" s="15" t="str">
        <f t="shared" si="2"/>
        <v/>
      </c>
    </row>
    <row r="14" spans="1:12" x14ac:dyDescent="0.35">
      <c r="A14" s="32">
        <v>9</v>
      </c>
      <c r="B14" s="33">
        <f>EDATE(Settings!$B$4,$A14-1)</f>
        <v>46569</v>
      </c>
      <c r="C14" s="34"/>
      <c r="D14" s="34"/>
      <c r="E14" s="34"/>
      <c r="F14" s="34"/>
      <c r="G14" s="35" t="str">
        <f t="shared" si="0"/>
        <v/>
      </c>
      <c r="H14" s="34"/>
      <c r="I14" s="36" t="str">
        <f t="shared" si="1"/>
        <v/>
      </c>
      <c r="J14" s="36">
        <f>Settings!$B$7</f>
        <v>0.6</v>
      </c>
      <c r="K14" s="35">
        <f>SUMIFS(LQ7_Methods!$D$6:$D$105,LQ7_Methods!$A$6:$A$105,$A14)</f>
        <v>0</v>
      </c>
      <c r="L14" s="15" t="str">
        <f t="shared" si="2"/>
        <v/>
      </c>
    </row>
    <row r="15" spans="1:12" x14ac:dyDescent="0.35">
      <c r="A15" s="32">
        <v>10</v>
      </c>
      <c r="B15" s="33">
        <f>EDATE(Settings!$B$4,$A15-1)</f>
        <v>46600</v>
      </c>
      <c r="C15" s="34"/>
      <c r="D15" s="34"/>
      <c r="E15" s="34"/>
      <c r="F15" s="34"/>
      <c r="G15" s="35" t="str">
        <f t="shared" si="0"/>
        <v/>
      </c>
      <c r="H15" s="34"/>
      <c r="I15" s="36" t="str">
        <f t="shared" si="1"/>
        <v/>
      </c>
      <c r="J15" s="36">
        <f>Settings!$B$7</f>
        <v>0.6</v>
      </c>
      <c r="K15" s="35">
        <f>SUMIFS(LQ7_Methods!$D$6:$D$105,LQ7_Methods!$A$6:$A$105,$A15)</f>
        <v>0</v>
      </c>
      <c r="L15" s="15" t="str">
        <f t="shared" si="2"/>
        <v/>
      </c>
    </row>
    <row r="16" spans="1:12" x14ac:dyDescent="0.35">
      <c r="A16" s="32">
        <v>11</v>
      </c>
      <c r="B16" s="33">
        <f>EDATE(Settings!$B$4,$A16-1)</f>
        <v>46631</v>
      </c>
      <c r="C16" s="34"/>
      <c r="D16" s="34"/>
      <c r="E16" s="34"/>
      <c r="F16" s="34"/>
      <c r="G16" s="35" t="str">
        <f t="shared" si="0"/>
        <v/>
      </c>
      <c r="H16" s="34"/>
      <c r="I16" s="36" t="str">
        <f t="shared" si="1"/>
        <v/>
      </c>
      <c r="J16" s="36">
        <f>Settings!$B$7</f>
        <v>0.6</v>
      </c>
      <c r="K16" s="35">
        <f>SUMIFS(LQ7_Methods!$D$6:$D$105,LQ7_Methods!$A$6:$A$105,$A16)</f>
        <v>0</v>
      </c>
      <c r="L16" s="15" t="str">
        <f t="shared" si="2"/>
        <v/>
      </c>
    </row>
    <row r="17" spans="1:12" x14ac:dyDescent="0.35">
      <c r="A17" s="32">
        <v>12</v>
      </c>
      <c r="B17" s="33">
        <f>EDATE(Settings!$B$4,$A17-1)</f>
        <v>46661</v>
      </c>
      <c r="C17" s="34"/>
      <c r="D17" s="34"/>
      <c r="E17" s="34"/>
      <c r="F17" s="34"/>
      <c r="G17" s="35" t="str">
        <f t="shared" si="0"/>
        <v/>
      </c>
      <c r="H17" s="34"/>
      <c r="I17" s="36" t="str">
        <f t="shared" si="1"/>
        <v/>
      </c>
      <c r="J17" s="36">
        <f>Settings!$B$7</f>
        <v>0.6</v>
      </c>
      <c r="K17" s="35">
        <f>SUMIFS(LQ7_Methods!$D$6:$D$105,LQ7_Methods!$A$6:$A$105,$A17)</f>
        <v>0</v>
      </c>
      <c r="L17" s="15" t="str">
        <f t="shared" si="2"/>
        <v/>
      </c>
    </row>
  </sheetData>
  <conditionalFormatting sqref="I6:I17">
    <cfRule type="expression" dxfId="2" priority="2">
      <formula>AND(ISNUMBER($I6),$I6&gt;=$J6)</formula>
    </cfRule>
    <cfRule type="expression" dxfId="1" priority="3">
      <formula>AND(ISNUMBER($I6),$I6&lt;$J6)</formula>
    </cfRule>
  </conditionalFormatting>
  <conditionalFormatting sqref="L6:L17">
    <cfRule type="expression" dxfId="0" priority="4">
      <formula>LEFT($L6,5)="CHECK"</formula>
    </cfRule>
  </conditionalFormatting>
  <dataValidations count="1">
    <dataValidation type="decimal" operator="greaterThanOrEqual" allowBlank="1" error="Enter a number &gt;= 0" sqref="C6:F17 H6:H17" xr:uid="{00000000-0002-0000-02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A259"/>
  </sheetPr>
  <dimension ref="A1:I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2" width="10" customWidth="1"/>
    <col min="3" max="5" width="13" customWidth="1"/>
    <col min="6" max="6" width="14" customWidth="1"/>
    <col min="7" max="7" width="13" customWidth="1"/>
    <col min="8" max="8" width="15" customWidth="1"/>
    <col min="9" max="9" width="60" customWidth="1"/>
  </cols>
  <sheetData>
    <row r="1" spans="1:9" ht="18" x14ac:dyDescent="0.4">
      <c r="A1" s="8" t="s">
        <v>118</v>
      </c>
    </row>
    <row r="2" spans="1:9" x14ac:dyDescent="0.35">
      <c r="A2" s="9" t="s">
        <v>119</v>
      </c>
    </row>
    <row r="3" spans="1:9" x14ac:dyDescent="0.35">
      <c r="A3" s="31" t="s">
        <v>120</v>
      </c>
    </row>
    <row r="5" spans="1:9" ht="48" customHeight="1" x14ac:dyDescent="0.35">
      <c r="A5" s="19" t="s">
        <v>106</v>
      </c>
      <c r="B5" s="19" t="s">
        <v>107</v>
      </c>
      <c r="C5" s="19" t="s">
        <v>121</v>
      </c>
      <c r="D5" s="19" t="s">
        <v>122</v>
      </c>
      <c r="E5" s="19" t="s">
        <v>123</v>
      </c>
      <c r="F5" s="19" t="s">
        <v>65</v>
      </c>
      <c r="G5" s="19" t="s">
        <v>124</v>
      </c>
      <c r="H5" s="19" t="s">
        <v>125</v>
      </c>
      <c r="I5" s="19" t="s">
        <v>126</v>
      </c>
    </row>
    <row r="6" spans="1:9" x14ac:dyDescent="0.35">
      <c r="A6" s="32">
        <v>1</v>
      </c>
      <c r="B6" s="33">
        <f>EDATE(Settings!$B$4,$A6-1)</f>
        <v>46327</v>
      </c>
      <c r="C6" s="34">
        <v>120</v>
      </c>
      <c r="D6" s="34">
        <v>38</v>
      </c>
      <c r="E6" s="36">
        <f t="shared" ref="E6:E17" si="0">IF(N(C6)&gt;0,D6/C6,"")</f>
        <v>0.31666666666666665</v>
      </c>
      <c r="F6" s="37">
        <v>4.3</v>
      </c>
      <c r="G6" s="34">
        <v>8</v>
      </c>
      <c r="H6" s="37">
        <v>3.9</v>
      </c>
      <c r="I6" s="38" t="s">
        <v>127</v>
      </c>
    </row>
    <row r="7" spans="1:9" x14ac:dyDescent="0.35">
      <c r="A7" s="32">
        <v>2</v>
      </c>
      <c r="B7" s="33">
        <f>EDATE(Settings!$B$4,$A7-1)</f>
        <v>46357</v>
      </c>
      <c r="C7" s="34"/>
      <c r="D7" s="34"/>
      <c r="E7" s="36" t="str">
        <f t="shared" si="0"/>
        <v/>
      </c>
      <c r="F7" s="37"/>
      <c r="G7" s="34"/>
      <c r="H7" s="37"/>
      <c r="I7" s="38"/>
    </row>
    <row r="8" spans="1:9" x14ac:dyDescent="0.35">
      <c r="A8" s="32">
        <v>3</v>
      </c>
      <c r="B8" s="33">
        <f>EDATE(Settings!$B$4,$A8-1)</f>
        <v>46388</v>
      </c>
      <c r="C8" s="34"/>
      <c r="D8" s="34"/>
      <c r="E8" s="36" t="str">
        <f t="shared" si="0"/>
        <v/>
      </c>
      <c r="F8" s="37"/>
      <c r="G8" s="34"/>
      <c r="H8" s="37"/>
      <c r="I8" s="38"/>
    </row>
    <row r="9" spans="1:9" x14ac:dyDescent="0.35">
      <c r="A9" s="32">
        <v>4</v>
      </c>
      <c r="B9" s="33">
        <f>EDATE(Settings!$B$4,$A9-1)</f>
        <v>46419</v>
      </c>
      <c r="C9" s="34"/>
      <c r="D9" s="34"/>
      <c r="E9" s="36" t="str">
        <f t="shared" si="0"/>
        <v/>
      </c>
      <c r="F9" s="37"/>
      <c r="G9" s="34"/>
      <c r="H9" s="37"/>
      <c r="I9" s="38"/>
    </row>
    <row r="10" spans="1:9" x14ac:dyDescent="0.35">
      <c r="A10" s="32">
        <v>5</v>
      </c>
      <c r="B10" s="33">
        <f>EDATE(Settings!$B$4,$A10-1)</f>
        <v>46447</v>
      </c>
      <c r="C10" s="34"/>
      <c r="D10" s="34"/>
      <c r="E10" s="36" t="str">
        <f t="shared" si="0"/>
        <v/>
      </c>
      <c r="F10" s="37"/>
      <c r="G10" s="34"/>
      <c r="H10" s="37"/>
      <c r="I10" s="38"/>
    </row>
    <row r="11" spans="1:9" x14ac:dyDescent="0.35">
      <c r="A11" s="32">
        <v>6</v>
      </c>
      <c r="B11" s="33">
        <f>EDATE(Settings!$B$4,$A11-1)</f>
        <v>46478</v>
      </c>
      <c r="C11" s="34"/>
      <c r="D11" s="34"/>
      <c r="E11" s="36" t="str">
        <f t="shared" si="0"/>
        <v/>
      </c>
      <c r="F11" s="37"/>
      <c r="G11" s="34"/>
      <c r="H11" s="37"/>
      <c r="I11" s="38"/>
    </row>
    <row r="12" spans="1:9" x14ac:dyDescent="0.35">
      <c r="A12" s="32">
        <v>7</v>
      </c>
      <c r="B12" s="33">
        <f>EDATE(Settings!$B$4,$A12-1)</f>
        <v>46508</v>
      </c>
      <c r="C12" s="34"/>
      <c r="D12" s="34"/>
      <c r="E12" s="36" t="str">
        <f t="shared" si="0"/>
        <v/>
      </c>
      <c r="F12" s="37"/>
      <c r="G12" s="34"/>
      <c r="H12" s="37"/>
      <c r="I12" s="38"/>
    </row>
    <row r="13" spans="1:9" x14ac:dyDescent="0.35">
      <c r="A13" s="32">
        <v>8</v>
      </c>
      <c r="B13" s="33">
        <f>EDATE(Settings!$B$4,$A13-1)</f>
        <v>46539</v>
      </c>
      <c r="C13" s="34"/>
      <c r="D13" s="34"/>
      <c r="E13" s="36" t="str">
        <f t="shared" si="0"/>
        <v/>
      </c>
      <c r="F13" s="37"/>
      <c r="G13" s="34"/>
      <c r="H13" s="37"/>
      <c r="I13" s="38"/>
    </row>
    <row r="14" spans="1:9" x14ac:dyDescent="0.35">
      <c r="A14" s="32">
        <v>9</v>
      </c>
      <c r="B14" s="33">
        <f>EDATE(Settings!$B$4,$A14-1)</f>
        <v>46569</v>
      </c>
      <c r="C14" s="34"/>
      <c r="D14" s="34"/>
      <c r="E14" s="36" t="str">
        <f t="shared" si="0"/>
        <v/>
      </c>
      <c r="F14" s="37"/>
      <c r="G14" s="34"/>
      <c r="H14" s="37"/>
      <c r="I14" s="38"/>
    </row>
    <row r="15" spans="1:9" x14ac:dyDescent="0.35">
      <c r="A15" s="32">
        <v>10</v>
      </c>
      <c r="B15" s="33">
        <f>EDATE(Settings!$B$4,$A15-1)</f>
        <v>46600</v>
      </c>
      <c r="C15" s="34"/>
      <c r="D15" s="34"/>
      <c r="E15" s="36" t="str">
        <f t="shared" si="0"/>
        <v/>
      </c>
      <c r="F15" s="37"/>
      <c r="G15" s="34"/>
      <c r="H15" s="37"/>
      <c r="I15" s="38"/>
    </row>
    <row r="16" spans="1:9" x14ac:dyDescent="0.35">
      <c r="A16" s="32">
        <v>11</v>
      </c>
      <c r="B16" s="33">
        <f>EDATE(Settings!$B$4,$A16-1)</f>
        <v>46631</v>
      </c>
      <c r="C16" s="34"/>
      <c r="D16" s="34"/>
      <c r="E16" s="36" t="str">
        <f t="shared" si="0"/>
        <v/>
      </c>
      <c r="F16" s="37"/>
      <c r="G16" s="34"/>
      <c r="H16" s="37"/>
      <c r="I16" s="38"/>
    </row>
    <row r="17" spans="1:9" x14ac:dyDescent="0.35">
      <c r="A17" s="32">
        <v>12</v>
      </c>
      <c r="B17" s="33">
        <f>EDATE(Settings!$B$4,$A17-1)</f>
        <v>46661</v>
      </c>
      <c r="C17" s="34"/>
      <c r="D17" s="34"/>
      <c r="E17" s="36" t="str">
        <f t="shared" si="0"/>
        <v/>
      </c>
      <c r="F17" s="37"/>
      <c r="G17" s="34"/>
      <c r="H17" s="37"/>
      <c r="I17" s="38"/>
    </row>
  </sheetData>
  <dataValidations count="2">
    <dataValidation type="decimal" operator="greaterThanOrEqual" allowBlank="1" error="Enter a number &gt;= 0" sqref="C6:D17 G6:G17" xr:uid="{00000000-0002-0000-0300-000000000000}">
      <formula1>0</formula1>
      <formula2>0</formula2>
    </dataValidation>
    <dataValidation type="decimal" allowBlank="1" error="Enter a score between 1 and 5" sqref="F6:F17 H6:H17" xr:uid="{00000000-0002-0000-0300-000001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A259"/>
  </sheetPr>
  <dimension ref="A1:P5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8" customWidth="1"/>
    <col min="2" max="2" width="11" customWidth="1"/>
    <col min="3" max="4" width="13" customWidth="1"/>
    <col min="5" max="5" width="15" customWidth="1"/>
    <col min="6" max="9" width="13" customWidth="1"/>
    <col min="10" max="10" width="14" customWidth="1"/>
    <col min="12" max="12" width="24" customWidth="1"/>
    <col min="13" max="16" width="13" customWidth="1"/>
  </cols>
  <sheetData>
    <row r="1" spans="1:16" ht="18" x14ac:dyDescent="0.4">
      <c r="A1" s="8" t="s">
        <v>128</v>
      </c>
    </row>
    <row r="2" spans="1:16" x14ac:dyDescent="0.35">
      <c r="A2" s="9" t="s">
        <v>129</v>
      </c>
    </row>
    <row r="3" spans="1:16" x14ac:dyDescent="0.35">
      <c r="A3" s="31" t="s">
        <v>120</v>
      </c>
    </row>
    <row r="4" spans="1:16" x14ac:dyDescent="0.35">
      <c r="L4" s="39" t="s">
        <v>130</v>
      </c>
    </row>
    <row r="5" spans="1:16" ht="48" customHeight="1" x14ac:dyDescent="0.35">
      <c r="A5" s="19" t="s">
        <v>131</v>
      </c>
      <c r="B5" s="19" t="s">
        <v>132</v>
      </c>
      <c r="C5" s="19" t="s">
        <v>133</v>
      </c>
      <c r="D5" s="19" t="s">
        <v>134</v>
      </c>
      <c r="E5" s="19" t="s">
        <v>135</v>
      </c>
      <c r="F5" s="19" t="s">
        <v>136</v>
      </c>
      <c r="G5" s="19" t="s">
        <v>137</v>
      </c>
      <c r="H5" s="19" t="s">
        <v>138</v>
      </c>
      <c r="I5" s="19" t="s">
        <v>139</v>
      </c>
      <c r="J5" s="19" t="s">
        <v>140</v>
      </c>
      <c r="L5" s="19" t="s">
        <v>141</v>
      </c>
      <c r="M5" s="19" t="s">
        <v>142</v>
      </c>
      <c r="N5" s="19" t="s">
        <v>143</v>
      </c>
      <c r="O5" s="19" t="s">
        <v>144</v>
      </c>
      <c r="P5" s="19" t="s">
        <v>145</v>
      </c>
    </row>
    <row r="6" spans="1:16" x14ac:dyDescent="0.35">
      <c r="A6" s="32">
        <v>1</v>
      </c>
      <c r="B6" s="40">
        <f>Settings!$B$4+7*($A6-1)</f>
        <v>46327</v>
      </c>
      <c r="C6" s="34">
        <v>600</v>
      </c>
      <c r="D6" s="34">
        <v>410</v>
      </c>
      <c r="E6" s="34">
        <v>320</v>
      </c>
      <c r="F6" s="34">
        <v>210</v>
      </c>
      <c r="G6" s="36">
        <f t="shared" ref="G6:G37" si="0">IF(N(C6)&gt;0,D6/C6,"")</f>
        <v>0.68333333333333335</v>
      </c>
      <c r="H6" s="36">
        <f t="shared" ref="H6:H37" si="1">IF(N(D6)&gt;0,E6/D6,"")</f>
        <v>0.78048780487804881</v>
      </c>
      <c r="I6" s="36">
        <f t="shared" ref="I6:I37" si="2">IF(N(E6)&gt;0,F6/E6,"")</f>
        <v>0.65625</v>
      </c>
      <c r="J6" s="36">
        <f t="shared" ref="J6:J37" si="3">IF(N(C6)&gt;0,F6/C6,"")</f>
        <v>0.35</v>
      </c>
      <c r="L6" s="41" t="s">
        <v>133</v>
      </c>
      <c r="M6" s="35">
        <f>SUM(C6:C57)</f>
        <v>600</v>
      </c>
      <c r="N6" s="36">
        <f>IF($M$6&gt;0,M6/$M$6,"")</f>
        <v>1</v>
      </c>
      <c r="O6" s="36"/>
      <c r="P6" s="36"/>
    </row>
    <row r="7" spans="1:16" x14ac:dyDescent="0.35">
      <c r="A7" s="32">
        <v>2</v>
      </c>
      <c r="B7" s="40">
        <f>Settings!$B$4+7*($A7-1)</f>
        <v>46334</v>
      </c>
      <c r="C7" s="34"/>
      <c r="D7" s="34"/>
      <c r="E7" s="34"/>
      <c r="F7" s="34"/>
      <c r="G7" s="36" t="str">
        <f t="shared" si="0"/>
        <v/>
      </c>
      <c r="H7" s="36" t="str">
        <f t="shared" si="1"/>
        <v/>
      </c>
      <c r="I7" s="36" t="str">
        <f t="shared" si="2"/>
        <v/>
      </c>
      <c r="J7" s="36" t="str">
        <f t="shared" si="3"/>
        <v/>
      </c>
      <c r="L7" s="41" t="s">
        <v>134</v>
      </c>
      <c r="M7" s="35">
        <f>SUM(D6:D57)</f>
        <v>410</v>
      </c>
      <c r="N7" s="36">
        <f>IF($M$6&gt;0,M7/$M$6,"")</f>
        <v>0.68333333333333335</v>
      </c>
      <c r="O7" s="36">
        <f>IF(N(M6)&gt;0,M7/M6,"")</f>
        <v>0.68333333333333335</v>
      </c>
      <c r="P7" s="36">
        <f>IF(ISNUMBER(O7),1-O7,"")</f>
        <v>0.31666666666666665</v>
      </c>
    </row>
    <row r="8" spans="1:16" x14ac:dyDescent="0.35">
      <c r="A8" s="32">
        <v>3</v>
      </c>
      <c r="B8" s="40">
        <f>Settings!$B$4+7*($A8-1)</f>
        <v>46341</v>
      </c>
      <c r="C8" s="34"/>
      <c r="D8" s="34"/>
      <c r="E8" s="34"/>
      <c r="F8" s="34"/>
      <c r="G8" s="36" t="str">
        <f t="shared" si="0"/>
        <v/>
      </c>
      <c r="H8" s="36" t="str">
        <f t="shared" si="1"/>
        <v/>
      </c>
      <c r="I8" s="36" t="str">
        <f t="shared" si="2"/>
        <v/>
      </c>
      <c r="J8" s="36" t="str">
        <f t="shared" si="3"/>
        <v/>
      </c>
      <c r="L8" s="41" t="s">
        <v>146</v>
      </c>
      <c r="M8" s="35">
        <f>SUM(E6:E57)</f>
        <v>320</v>
      </c>
      <c r="N8" s="36">
        <f>IF($M$6&gt;0,M8/$M$6,"")</f>
        <v>0.53333333333333333</v>
      </c>
      <c r="O8" s="36">
        <f>IF(N(M7)&gt;0,M8/M7,"")</f>
        <v>0.78048780487804881</v>
      </c>
      <c r="P8" s="36">
        <f>IF(ISNUMBER(O8),1-O8,"")</f>
        <v>0.21951219512195119</v>
      </c>
    </row>
    <row r="9" spans="1:16" x14ac:dyDescent="0.35">
      <c r="A9" s="32">
        <v>4</v>
      </c>
      <c r="B9" s="40">
        <f>Settings!$B$4+7*($A9-1)</f>
        <v>46348</v>
      </c>
      <c r="C9" s="34"/>
      <c r="D9" s="34"/>
      <c r="E9" s="34"/>
      <c r="F9" s="34"/>
      <c r="G9" s="36" t="str">
        <f t="shared" si="0"/>
        <v/>
      </c>
      <c r="H9" s="36" t="str">
        <f t="shared" si="1"/>
        <v/>
      </c>
      <c r="I9" s="36" t="str">
        <f t="shared" si="2"/>
        <v/>
      </c>
      <c r="J9" s="36" t="str">
        <f t="shared" si="3"/>
        <v/>
      </c>
      <c r="L9" s="41" t="s">
        <v>136</v>
      </c>
      <c r="M9" s="35">
        <f>SUM(F6:F57)</f>
        <v>210</v>
      </c>
      <c r="N9" s="36">
        <f>IF($M$6&gt;0,M9/$M$6,"")</f>
        <v>0.35</v>
      </c>
      <c r="O9" s="36">
        <f>IF(N(M8)&gt;0,M9/M8,"")</f>
        <v>0.65625</v>
      </c>
      <c r="P9" s="36">
        <f>IF(ISNUMBER(O9),1-O9,"")</f>
        <v>0.34375</v>
      </c>
    </row>
    <row r="10" spans="1:16" x14ac:dyDescent="0.35">
      <c r="A10" s="32">
        <v>5</v>
      </c>
      <c r="B10" s="40">
        <f>Settings!$B$4+7*($A10-1)</f>
        <v>46355</v>
      </c>
      <c r="C10" s="34"/>
      <c r="D10" s="34"/>
      <c r="E10" s="34"/>
      <c r="F10" s="34"/>
      <c r="G10" s="36" t="str">
        <f t="shared" si="0"/>
        <v/>
      </c>
      <c r="H10" s="36" t="str">
        <f t="shared" si="1"/>
        <v/>
      </c>
      <c r="I10" s="36" t="str">
        <f t="shared" si="2"/>
        <v/>
      </c>
      <c r="J10" s="36" t="str">
        <f t="shared" si="3"/>
        <v/>
      </c>
    </row>
    <row r="11" spans="1:16" x14ac:dyDescent="0.35">
      <c r="A11" s="32">
        <v>6</v>
      </c>
      <c r="B11" s="40">
        <f>Settings!$B$4+7*($A11-1)</f>
        <v>46362</v>
      </c>
      <c r="C11" s="34"/>
      <c r="D11" s="34"/>
      <c r="E11" s="34"/>
      <c r="F11" s="34"/>
      <c r="G11" s="36" t="str">
        <f t="shared" si="0"/>
        <v/>
      </c>
      <c r="H11" s="36" t="str">
        <f t="shared" si="1"/>
        <v/>
      </c>
      <c r="I11" s="36" t="str">
        <f t="shared" si="2"/>
        <v/>
      </c>
      <c r="J11" s="36" t="str">
        <f t="shared" si="3"/>
        <v/>
      </c>
    </row>
    <row r="12" spans="1:16" x14ac:dyDescent="0.35">
      <c r="A12" s="32">
        <v>7</v>
      </c>
      <c r="B12" s="40">
        <f>Settings!$B$4+7*($A12-1)</f>
        <v>46369</v>
      </c>
      <c r="C12" s="34"/>
      <c r="D12" s="34"/>
      <c r="E12" s="34"/>
      <c r="F12" s="34"/>
      <c r="G12" s="36" t="str">
        <f t="shared" si="0"/>
        <v/>
      </c>
      <c r="H12" s="36" t="str">
        <f t="shared" si="1"/>
        <v/>
      </c>
      <c r="I12" s="36" t="str">
        <f t="shared" si="2"/>
        <v/>
      </c>
      <c r="J12" s="36" t="str">
        <f t="shared" si="3"/>
        <v/>
      </c>
    </row>
    <row r="13" spans="1:16" x14ac:dyDescent="0.35">
      <c r="A13" s="32">
        <v>8</v>
      </c>
      <c r="B13" s="40">
        <f>Settings!$B$4+7*($A13-1)</f>
        <v>46376</v>
      </c>
      <c r="C13" s="34"/>
      <c r="D13" s="34"/>
      <c r="E13" s="34"/>
      <c r="F13" s="34"/>
      <c r="G13" s="36" t="str">
        <f t="shared" si="0"/>
        <v/>
      </c>
      <c r="H13" s="36" t="str">
        <f t="shared" si="1"/>
        <v/>
      </c>
      <c r="I13" s="36" t="str">
        <f t="shared" si="2"/>
        <v/>
      </c>
      <c r="J13" s="36" t="str">
        <f t="shared" si="3"/>
        <v/>
      </c>
    </row>
    <row r="14" spans="1:16" x14ac:dyDescent="0.35">
      <c r="A14" s="32">
        <v>9</v>
      </c>
      <c r="B14" s="40">
        <f>Settings!$B$4+7*($A14-1)</f>
        <v>46383</v>
      </c>
      <c r="C14" s="34"/>
      <c r="D14" s="34"/>
      <c r="E14" s="34"/>
      <c r="F14" s="34"/>
      <c r="G14" s="36" t="str">
        <f t="shared" si="0"/>
        <v/>
      </c>
      <c r="H14" s="36" t="str">
        <f t="shared" si="1"/>
        <v/>
      </c>
      <c r="I14" s="36" t="str">
        <f t="shared" si="2"/>
        <v/>
      </c>
      <c r="J14" s="36" t="str">
        <f t="shared" si="3"/>
        <v/>
      </c>
    </row>
    <row r="15" spans="1:16" x14ac:dyDescent="0.35">
      <c r="A15" s="32">
        <v>10</v>
      </c>
      <c r="B15" s="40">
        <f>Settings!$B$4+7*($A15-1)</f>
        <v>46390</v>
      </c>
      <c r="C15" s="34"/>
      <c r="D15" s="34"/>
      <c r="E15" s="34"/>
      <c r="F15" s="34"/>
      <c r="G15" s="36" t="str">
        <f t="shared" si="0"/>
        <v/>
      </c>
      <c r="H15" s="36" t="str">
        <f t="shared" si="1"/>
        <v/>
      </c>
      <c r="I15" s="36" t="str">
        <f t="shared" si="2"/>
        <v/>
      </c>
      <c r="J15" s="36" t="str">
        <f t="shared" si="3"/>
        <v/>
      </c>
    </row>
    <row r="16" spans="1:16" x14ac:dyDescent="0.35">
      <c r="A16" s="32">
        <v>11</v>
      </c>
      <c r="B16" s="40">
        <f>Settings!$B$4+7*($A16-1)</f>
        <v>46397</v>
      </c>
      <c r="C16" s="34"/>
      <c r="D16" s="34"/>
      <c r="E16" s="34"/>
      <c r="F16" s="34"/>
      <c r="G16" s="36" t="str">
        <f t="shared" si="0"/>
        <v/>
      </c>
      <c r="H16" s="36" t="str">
        <f t="shared" si="1"/>
        <v/>
      </c>
      <c r="I16" s="36" t="str">
        <f t="shared" si="2"/>
        <v/>
      </c>
      <c r="J16" s="36" t="str">
        <f t="shared" si="3"/>
        <v/>
      </c>
    </row>
    <row r="17" spans="1:10" x14ac:dyDescent="0.35">
      <c r="A17" s="32">
        <v>12</v>
      </c>
      <c r="B17" s="40">
        <f>Settings!$B$4+7*($A17-1)</f>
        <v>46404</v>
      </c>
      <c r="C17" s="34"/>
      <c r="D17" s="34"/>
      <c r="E17" s="34"/>
      <c r="F17" s="34"/>
      <c r="G17" s="36" t="str">
        <f t="shared" si="0"/>
        <v/>
      </c>
      <c r="H17" s="36" t="str">
        <f t="shared" si="1"/>
        <v/>
      </c>
      <c r="I17" s="36" t="str">
        <f t="shared" si="2"/>
        <v/>
      </c>
      <c r="J17" s="36" t="str">
        <f t="shared" si="3"/>
        <v/>
      </c>
    </row>
    <row r="18" spans="1:10" x14ac:dyDescent="0.35">
      <c r="A18" s="32">
        <v>13</v>
      </c>
      <c r="B18" s="40">
        <f>Settings!$B$4+7*($A18-1)</f>
        <v>46411</v>
      </c>
      <c r="C18" s="34"/>
      <c r="D18" s="34"/>
      <c r="E18" s="34"/>
      <c r="F18" s="34"/>
      <c r="G18" s="36" t="str">
        <f t="shared" si="0"/>
        <v/>
      </c>
      <c r="H18" s="36" t="str">
        <f t="shared" si="1"/>
        <v/>
      </c>
      <c r="I18" s="36" t="str">
        <f t="shared" si="2"/>
        <v/>
      </c>
      <c r="J18" s="36" t="str">
        <f t="shared" si="3"/>
        <v/>
      </c>
    </row>
    <row r="19" spans="1:10" x14ac:dyDescent="0.35">
      <c r="A19" s="32">
        <v>14</v>
      </c>
      <c r="B19" s="40">
        <f>Settings!$B$4+7*($A19-1)</f>
        <v>46418</v>
      </c>
      <c r="C19" s="34"/>
      <c r="D19" s="34"/>
      <c r="E19" s="34"/>
      <c r="F19" s="34"/>
      <c r="G19" s="36" t="str">
        <f t="shared" si="0"/>
        <v/>
      </c>
      <c r="H19" s="36" t="str">
        <f t="shared" si="1"/>
        <v/>
      </c>
      <c r="I19" s="36" t="str">
        <f t="shared" si="2"/>
        <v/>
      </c>
      <c r="J19" s="36" t="str">
        <f t="shared" si="3"/>
        <v/>
      </c>
    </row>
    <row r="20" spans="1:10" x14ac:dyDescent="0.35">
      <c r="A20" s="32">
        <v>15</v>
      </c>
      <c r="B20" s="40">
        <f>Settings!$B$4+7*($A20-1)</f>
        <v>46425</v>
      </c>
      <c r="C20" s="34"/>
      <c r="D20" s="34"/>
      <c r="E20" s="34"/>
      <c r="F20" s="34"/>
      <c r="G20" s="36" t="str">
        <f t="shared" si="0"/>
        <v/>
      </c>
      <c r="H20" s="36" t="str">
        <f t="shared" si="1"/>
        <v/>
      </c>
      <c r="I20" s="36" t="str">
        <f t="shared" si="2"/>
        <v/>
      </c>
      <c r="J20" s="36" t="str">
        <f t="shared" si="3"/>
        <v/>
      </c>
    </row>
    <row r="21" spans="1:10" x14ac:dyDescent="0.35">
      <c r="A21" s="32">
        <v>16</v>
      </c>
      <c r="B21" s="40">
        <f>Settings!$B$4+7*($A21-1)</f>
        <v>46432</v>
      </c>
      <c r="C21" s="34"/>
      <c r="D21" s="34"/>
      <c r="E21" s="34"/>
      <c r="F21" s="34"/>
      <c r="G21" s="36" t="str">
        <f t="shared" si="0"/>
        <v/>
      </c>
      <c r="H21" s="36" t="str">
        <f t="shared" si="1"/>
        <v/>
      </c>
      <c r="I21" s="36" t="str">
        <f t="shared" si="2"/>
        <v/>
      </c>
      <c r="J21" s="36" t="str">
        <f t="shared" si="3"/>
        <v/>
      </c>
    </row>
    <row r="22" spans="1:10" x14ac:dyDescent="0.35">
      <c r="A22" s="32">
        <v>17</v>
      </c>
      <c r="B22" s="40">
        <f>Settings!$B$4+7*($A22-1)</f>
        <v>46439</v>
      </c>
      <c r="C22" s="34"/>
      <c r="D22" s="34"/>
      <c r="E22" s="34"/>
      <c r="F22" s="34"/>
      <c r="G22" s="36" t="str">
        <f t="shared" si="0"/>
        <v/>
      </c>
      <c r="H22" s="36" t="str">
        <f t="shared" si="1"/>
        <v/>
      </c>
      <c r="I22" s="36" t="str">
        <f t="shared" si="2"/>
        <v/>
      </c>
      <c r="J22" s="36" t="str">
        <f t="shared" si="3"/>
        <v/>
      </c>
    </row>
    <row r="23" spans="1:10" x14ac:dyDescent="0.35">
      <c r="A23" s="32">
        <v>18</v>
      </c>
      <c r="B23" s="40">
        <f>Settings!$B$4+7*($A23-1)</f>
        <v>46446</v>
      </c>
      <c r="C23" s="34"/>
      <c r="D23" s="34"/>
      <c r="E23" s="34"/>
      <c r="F23" s="34"/>
      <c r="G23" s="36" t="str">
        <f t="shared" si="0"/>
        <v/>
      </c>
      <c r="H23" s="36" t="str">
        <f t="shared" si="1"/>
        <v/>
      </c>
      <c r="I23" s="36" t="str">
        <f t="shared" si="2"/>
        <v/>
      </c>
      <c r="J23" s="36" t="str">
        <f t="shared" si="3"/>
        <v/>
      </c>
    </row>
    <row r="24" spans="1:10" x14ac:dyDescent="0.35">
      <c r="A24" s="32">
        <v>19</v>
      </c>
      <c r="B24" s="40">
        <f>Settings!$B$4+7*($A24-1)</f>
        <v>46453</v>
      </c>
      <c r="C24" s="34"/>
      <c r="D24" s="34"/>
      <c r="E24" s="34"/>
      <c r="F24" s="34"/>
      <c r="G24" s="36" t="str">
        <f t="shared" si="0"/>
        <v/>
      </c>
      <c r="H24" s="36" t="str">
        <f t="shared" si="1"/>
        <v/>
      </c>
      <c r="I24" s="36" t="str">
        <f t="shared" si="2"/>
        <v/>
      </c>
      <c r="J24" s="36" t="str">
        <f t="shared" si="3"/>
        <v/>
      </c>
    </row>
    <row r="25" spans="1:10" x14ac:dyDescent="0.35">
      <c r="A25" s="32">
        <v>20</v>
      </c>
      <c r="B25" s="40">
        <f>Settings!$B$4+7*($A25-1)</f>
        <v>46460</v>
      </c>
      <c r="C25" s="34"/>
      <c r="D25" s="34"/>
      <c r="E25" s="34"/>
      <c r="F25" s="34"/>
      <c r="G25" s="36" t="str">
        <f t="shared" si="0"/>
        <v/>
      </c>
      <c r="H25" s="36" t="str">
        <f t="shared" si="1"/>
        <v/>
      </c>
      <c r="I25" s="36" t="str">
        <f t="shared" si="2"/>
        <v/>
      </c>
      <c r="J25" s="36" t="str">
        <f t="shared" si="3"/>
        <v/>
      </c>
    </row>
    <row r="26" spans="1:10" x14ac:dyDescent="0.35">
      <c r="A26" s="32">
        <v>21</v>
      </c>
      <c r="B26" s="40">
        <f>Settings!$B$4+7*($A26-1)</f>
        <v>46467</v>
      </c>
      <c r="C26" s="34"/>
      <c r="D26" s="34"/>
      <c r="E26" s="34"/>
      <c r="F26" s="34"/>
      <c r="G26" s="36" t="str">
        <f t="shared" si="0"/>
        <v/>
      </c>
      <c r="H26" s="36" t="str">
        <f t="shared" si="1"/>
        <v/>
      </c>
      <c r="I26" s="36" t="str">
        <f t="shared" si="2"/>
        <v/>
      </c>
      <c r="J26" s="36" t="str">
        <f t="shared" si="3"/>
        <v/>
      </c>
    </row>
    <row r="27" spans="1:10" x14ac:dyDescent="0.35">
      <c r="A27" s="32">
        <v>22</v>
      </c>
      <c r="B27" s="40">
        <f>Settings!$B$4+7*($A27-1)</f>
        <v>46474</v>
      </c>
      <c r="C27" s="34"/>
      <c r="D27" s="34"/>
      <c r="E27" s="34"/>
      <c r="F27" s="34"/>
      <c r="G27" s="36" t="str">
        <f t="shared" si="0"/>
        <v/>
      </c>
      <c r="H27" s="36" t="str">
        <f t="shared" si="1"/>
        <v/>
      </c>
      <c r="I27" s="36" t="str">
        <f t="shared" si="2"/>
        <v/>
      </c>
      <c r="J27" s="36" t="str">
        <f t="shared" si="3"/>
        <v/>
      </c>
    </row>
    <row r="28" spans="1:10" x14ac:dyDescent="0.35">
      <c r="A28" s="32">
        <v>23</v>
      </c>
      <c r="B28" s="40">
        <f>Settings!$B$4+7*($A28-1)</f>
        <v>46481</v>
      </c>
      <c r="C28" s="34"/>
      <c r="D28" s="34"/>
      <c r="E28" s="34"/>
      <c r="F28" s="34"/>
      <c r="G28" s="36" t="str">
        <f t="shared" si="0"/>
        <v/>
      </c>
      <c r="H28" s="36" t="str">
        <f t="shared" si="1"/>
        <v/>
      </c>
      <c r="I28" s="36" t="str">
        <f t="shared" si="2"/>
        <v/>
      </c>
      <c r="J28" s="36" t="str">
        <f t="shared" si="3"/>
        <v/>
      </c>
    </row>
    <row r="29" spans="1:10" x14ac:dyDescent="0.35">
      <c r="A29" s="32">
        <v>24</v>
      </c>
      <c r="B29" s="40">
        <f>Settings!$B$4+7*($A29-1)</f>
        <v>46488</v>
      </c>
      <c r="C29" s="34"/>
      <c r="D29" s="34"/>
      <c r="E29" s="34"/>
      <c r="F29" s="34"/>
      <c r="G29" s="36" t="str">
        <f t="shared" si="0"/>
        <v/>
      </c>
      <c r="H29" s="36" t="str">
        <f t="shared" si="1"/>
        <v/>
      </c>
      <c r="I29" s="36" t="str">
        <f t="shared" si="2"/>
        <v/>
      </c>
      <c r="J29" s="36" t="str">
        <f t="shared" si="3"/>
        <v/>
      </c>
    </row>
    <row r="30" spans="1:10" x14ac:dyDescent="0.35">
      <c r="A30" s="32">
        <v>25</v>
      </c>
      <c r="B30" s="40">
        <f>Settings!$B$4+7*($A30-1)</f>
        <v>46495</v>
      </c>
      <c r="C30" s="34"/>
      <c r="D30" s="34"/>
      <c r="E30" s="34"/>
      <c r="F30" s="34"/>
      <c r="G30" s="36" t="str">
        <f t="shared" si="0"/>
        <v/>
      </c>
      <c r="H30" s="36" t="str">
        <f t="shared" si="1"/>
        <v/>
      </c>
      <c r="I30" s="36" t="str">
        <f t="shared" si="2"/>
        <v/>
      </c>
      <c r="J30" s="36" t="str">
        <f t="shared" si="3"/>
        <v/>
      </c>
    </row>
    <row r="31" spans="1:10" x14ac:dyDescent="0.35">
      <c r="A31" s="32">
        <v>26</v>
      </c>
      <c r="B31" s="40">
        <f>Settings!$B$4+7*($A31-1)</f>
        <v>46502</v>
      </c>
      <c r="C31" s="34"/>
      <c r="D31" s="34"/>
      <c r="E31" s="34"/>
      <c r="F31" s="34"/>
      <c r="G31" s="36" t="str">
        <f t="shared" si="0"/>
        <v/>
      </c>
      <c r="H31" s="36" t="str">
        <f t="shared" si="1"/>
        <v/>
      </c>
      <c r="I31" s="36" t="str">
        <f t="shared" si="2"/>
        <v/>
      </c>
      <c r="J31" s="36" t="str">
        <f t="shared" si="3"/>
        <v/>
      </c>
    </row>
    <row r="32" spans="1:10" x14ac:dyDescent="0.35">
      <c r="A32" s="32">
        <v>27</v>
      </c>
      <c r="B32" s="40">
        <f>Settings!$B$4+7*($A32-1)</f>
        <v>46509</v>
      </c>
      <c r="C32" s="34"/>
      <c r="D32" s="34"/>
      <c r="E32" s="34"/>
      <c r="F32" s="34"/>
      <c r="G32" s="36" t="str">
        <f t="shared" si="0"/>
        <v/>
      </c>
      <c r="H32" s="36" t="str">
        <f t="shared" si="1"/>
        <v/>
      </c>
      <c r="I32" s="36" t="str">
        <f t="shared" si="2"/>
        <v/>
      </c>
      <c r="J32" s="36" t="str">
        <f t="shared" si="3"/>
        <v/>
      </c>
    </row>
    <row r="33" spans="1:10" x14ac:dyDescent="0.35">
      <c r="A33" s="32">
        <v>28</v>
      </c>
      <c r="B33" s="40">
        <f>Settings!$B$4+7*($A33-1)</f>
        <v>46516</v>
      </c>
      <c r="C33" s="34"/>
      <c r="D33" s="34"/>
      <c r="E33" s="34"/>
      <c r="F33" s="34"/>
      <c r="G33" s="36" t="str">
        <f t="shared" si="0"/>
        <v/>
      </c>
      <c r="H33" s="36" t="str">
        <f t="shared" si="1"/>
        <v/>
      </c>
      <c r="I33" s="36" t="str">
        <f t="shared" si="2"/>
        <v/>
      </c>
      <c r="J33" s="36" t="str">
        <f t="shared" si="3"/>
        <v/>
      </c>
    </row>
    <row r="34" spans="1:10" x14ac:dyDescent="0.35">
      <c r="A34" s="32">
        <v>29</v>
      </c>
      <c r="B34" s="40">
        <f>Settings!$B$4+7*($A34-1)</f>
        <v>46523</v>
      </c>
      <c r="C34" s="34"/>
      <c r="D34" s="34"/>
      <c r="E34" s="34"/>
      <c r="F34" s="34"/>
      <c r="G34" s="36" t="str">
        <f t="shared" si="0"/>
        <v/>
      </c>
      <c r="H34" s="36" t="str">
        <f t="shared" si="1"/>
        <v/>
      </c>
      <c r="I34" s="36" t="str">
        <f t="shared" si="2"/>
        <v/>
      </c>
      <c r="J34" s="36" t="str">
        <f t="shared" si="3"/>
        <v/>
      </c>
    </row>
    <row r="35" spans="1:10" x14ac:dyDescent="0.35">
      <c r="A35" s="32">
        <v>30</v>
      </c>
      <c r="B35" s="40">
        <f>Settings!$B$4+7*($A35-1)</f>
        <v>46530</v>
      </c>
      <c r="C35" s="34"/>
      <c r="D35" s="34"/>
      <c r="E35" s="34"/>
      <c r="F35" s="34"/>
      <c r="G35" s="36" t="str">
        <f t="shared" si="0"/>
        <v/>
      </c>
      <c r="H35" s="36" t="str">
        <f t="shared" si="1"/>
        <v/>
      </c>
      <c r="I35" s="36" t="str">
        <f t="shared" si="2"/>
        <v/>
      </c>
      <c r="J35" s="36" t="str">
        <f t="shared" si="3"/>
        <v/>
      </c>
    </row>
    <row r="36" spans="1:10" x14ac:dyDescent="0.35">
      <c r="A36" s="32">
        <v>31</v>
      </c>
      <c r="B36" s="40">
        <f>Settings!$B$4+7*($A36-1)</f>
        <v>46537</v>
      </c>
      <c r="C36" s="34"/>
      <c r="D36" s="34"/>
      <c r="E36" s="34"/>
      <c r="F36" s="34"/>
      <c r="G36" s="36" t="str">
        <f t="shared" si="0"/>
        <v/>
      </c>
      <c r="H36" s="36" t="str">
        <f t="shared" si="1"/>
        <v/>
      </c>
      <c r="I36" s="36" t="str">
        <f t="shared" si="2"/>
        <v/>
      </c>
      <c r="J36" s="36" t="str">
        <f t="shared" si="3"/>
        <v/>
      </c>
    </row>
    <row r="37" spans="1:10" x14ac:dyDescent="0.35">
      <c r="A37" s="32">
        <v>32</v>
      </c>
      <c r="B37" s="40">
        <f>Settings!$B$4+7*($A37-1)</f>
        <v>46544</v>
      </c>
      <c r="C37" s="34"/>
      <c r="D37" s="34"/>
      <c r="E37" s="34"/>
      <c r="F37" s="34"/>
      <c r="G37" s="36" t="str">
        <f t="shared" si="0"/>
        <v/>
      </c>
      <c r="H37" s="36" t="str">
        <f t="shared" si="1"/>
        <v/>
      </c>
      <c r="I37" s="36" t="str">
        <f t="shared" si="2"/>
        <v/>
      </c>
      <c r="J37" s="36" t="str">
        <f t="shared" si="3"/>
        <v/>
      </c>
    </row>
    <row r="38" spans="1:10" x14ac:dyDescent="0.35">
      <c r="A38" s="32">
        <v>33</v>
      </c>
      <c r="B38" s="40">
        <f>Settings!$B$4+7*($A38-1)</f>
        <v>46551</v>
      </c>
      <c r="C38" s="34"/>
      <c r="D38" s="34"/>
      <c r="E38" s="34"/>
      <c r="F38" s="34"/>
      <c r="G38" s="36" t="str">
        <f t="shared" ref="G38:G57" si="4">IF(N(C38)&gt;0,D38/C38,"")</f>
        <v/>
      </c>
      <c r="H38" s="36" t="str">
        <f t="shared" ref="H38:H57" si="5">IF(N(D38)&gt;0,E38/D38,"")</f>
        <v/>
      </c>
      <c r="I38" s="36" t="str">
        <f t="shared" ref="I38:I57" si="6">IF(N(E38)&gt;0,F38/E38,"")</f>
        <v/>
      </c>
      <c r="J38" s="36" t="str">
        <f t="shared" ref="J38:J57" si="7">IF(N(C38)&gt;0,F38/C38,"")</f>
        <v/>
      </c>
    </row>
    <row r="39" spans="1:10" x14ac:dyDescent="0.35">
      <c r="A39" s="32">
        <v>34</v>
      </c>
      <c r="B39" s="40">
        <f>Settings!$B$4+7*($A39-1)</f>
        <v>46558</v>
      </c>
      <c r="C39" s="34"/>
      <c r="D39" s="34"/>
      <c r="E39" s="34"/>
      <c r="F39" s="34"/>
      <c r="G39" s="36" t="str">
        <f t="shared" si="4"/>
        <v/>
      </c>
      <c r="H39" s="36" t="str">
        <f t="shared" si="5"/>
        <v/>
      </c>
      <c r="I39" s="36" t="str">
        <f t="shared" si="6"/>
        <v/>
      </c>
      <c r="J39" s="36" t="str">
        <f t="shared" si="7"/>
        <v/>
      </c>
    </row>
    <row r="40" spans="1:10" x14ac:dyDescent="0.35">
      <c r="A40" s="32">
        <v>35</v>
      </c>
      <c r="B40" s="40">
        <f>Settings!$B$4+7*($A40-1)</f>
        <v>46565</v>
      </c>
      <c r="C40" s="34"/>
      <c r="D40" s="34"/>
      <c r="E40" s="34"/>
      <c r="F40" s="34"/>
      <c r="G40" s="36" t="str">
        <f t="shared" si="4"/>
        <v/>
      </c>
      <c r="H40" s="36" t="str">
        <f t="shared" si="5"/>
        <v/>
      </c>
      <c r="I40" s="36" t="str">
        <f t="shared" si="6"/>
        <v/>
      </c>
      <c r="J40" s="36" t="str">
        <f t="shared" si="7"/>
        <v/>
      </c>
    </row>
    <row r="41" spans="1:10" x14ac:dyDescent="0.35">
      <c r="A41" s="32">
        <v>36</v>
      </c>
      <c r="B41" s="40">
        <f>Settings!$B$4+7*($A41-1)</f>
        <v>46572</v>
      </c>
      <c r="C41" s="34"/>
      <c r="D41" s="34"/>
      <c r="E41" s="34"/>
      <c r="F41" s="34"/>
      <c r="G41" s="36" t="str">
        <f t="shared" si="4"/>
        <v/>
      </c>
      <c r="H41" s="36" t="str">
        <f t="shared" si="5"/>
        <v/>
      </c>
      <c r="I41" s="36" t="str">
        <f t="shared" si="6"/>
        <v/>
      </c>
      <c r="J41" s="36" t="str">
        <f t="shared" si="7"/>
        <v/>
      </c>
    </row>
    <row r="42" spans="1:10" x14ac:dyDescent="0.35">
      <c r="A42" s="32">
        <v>37</v>
      </c>
      <c r="B42" s="40">
        <f>Settings!$B$4+7*($A42-1)</f>
        <v>46579</v>
      </c>
      <c r="C42" s="34"/>
      <c r="D42" s="34"/>
      <c r="E42" s="34"/>
      <c r="F42" s="34"/>
      <c r="G42" s="36" t="str">
        <f t="shared" si="4"/>
        <v/>
      </c>
      <c r="H42" s="36" t="str">
        <f t="shared" si="5"/>
        <v/>
      </c>
      <c r="I42" s="36" t="str">
        <f t="shared" si="6"/>
        <v/>
      </c>
      <c r="J42" s="36" t="str">
        <f t="shared" si="7"/>
        <v/>
      </c>
    </row>
    <row r="43" spans="1:10" x14ac:dyDescent="0.35">
      <c r="A43" s="32">
        <v>38</v>
      </c>
      <c r="B43" s="40">
        <f>Settings!$B$4+7*($A43-1)</f>
        <v>46586</v>
      </c>
      <c r="C43" s="34"/>
      <c r="D43" s="34"/>
      <c r="E43" s="34"/>
      <c r="F43" s="34"/>
      <c r="G43" s="36" t="str">
        <f t="shared" si="4"/>
        <v/>
      </c>
      <c r="H43" s="36" t="str">
        <f t="shared" si="5"/>
        <v/>
      </c>
      <c r="I43" s="36" t="str">
        <f t="shared" si="6"/>
        <v/>
      </c>
      <c r="J43" s="36" t="str">
        <f t="shared" si="7"/>
        <v/>
      </c>
    </row>
    <row r="44" spans="1:10" x14ac:dyDescent="0.35">
      <c r="A44" s="32">
        <v>39</v>
      </c>
      <c r="B44" s="40">
        <f>Settings!$B$4+7*($A44-1)</f>
        <v>46593</v>
      </c>
      <c r="C44" s="34"/>
      <c r="D44" s="34"/>
      <c r="E44" s="34"/>
      <c r="F44" s="34"/>
      <c r="G44" s="36" t="str">
        <f t="shared" si="4"/>
        <v/>
      </c>
      <c r="H44" s="36" t="str">
        <f t="shared" si="5"/>
        <v/>
      </c>
      <c r="I44" s="36" t="str">
        <f t="shared" si="6"/>
        <v/>
      </c>
      <c r="J44" s="36" t="str">
        <f t="shared" si="7"/>
        <v/>
      </c>
    </row>
    <row r="45" spans="1:10" x14ac:dyDescent="0.35">
      <c r="A45" s="32">
        <v>40</v>
      </c>
      <c r="B45" s="40">
        <f>Settings!$B$4+7*($A45-1)</f>
        <v>46600</v>
      </c>
      <c r="C45" s="34"/>
      <c r="D45" s="34"/>
      <c r="E45" s="34"/>
      <c r="F45" s="34"/>
      <c r="G45" s="36" t="str">
        <f t="shared" si="4"/>
        <v/>
      </c>
      <c r="H45" s="36" t="str">
        <f t="shared" si="5"/>
        <v/>
      </c>
      <c r="I45" s="36" t="str">
        <f t="shared" si="6"/>
        <v/>
      </c>
      <c r="J45" s="36" t="str">
        <f t="shared" si="7"/>
        <v/>
      </c>
    </row>
    <row r="46" spans="1:10" x14ac:dyDescent="0.35">
      <c r="A46" s="32">
        <v>41</v>
      </c>
      <c r="B46" s="40">
        <f>Settings!$B$4+7*($A46-1)</f>
        <v>46607</v>
      </c>
      <c r="C46" s="34"/>
      <c r="D46" s="34"/>
      <c r="E46" s="34"/>
      <c r="F46" s="34"/>
      <c r="G46" s="36" t="str">
        <f t="shared" si="4"/>
        <v/>
      </c>
      <c r="H46" s="36" t="str">
        <f t="shared" si="5"/>
        <v/>
      </c>
      <c r="I46" s="36" t="str">
        <f t="shared" si="6"/>
        <v/>
      </c>
      <c r="J46" s="36" t="str">
        <f t="shared" si="7"/>
        <v/>
      </c>
    </row>
    <row r="47" spans="1:10" x14ac:dyDescent="0.35">
      <c r="A47" s="32">
        <v>42</v>
      </c>
      <c r="B47" s="40">
        <f>Settings!$B$4+7*($A47-1)</f>
        <v>46614</v>
      </c>
      <c r="C47" s="34"/>
      <c r="D47" s="34"/>
      <c r="E47" s="34"/>
      <c r="F47" s="34"/>
      <c r="G47" s="36" t="str">
        <f t="shared" si="4"/>
        <v/>
      </c>
      <c r="H47" s="36" t="str">
        <f t="shared" si="5"/>
        <v/>
      </c>
      <c r="I47" s="36" t="str">
        <f t="shared" si="6"/>
        <v/>
      </c>
      <c r="J47" s="36" t="str">
        <f t="shared" si="7"/>
        <v/>
      </c>
    </row>
    <row r="48" spans="1:10" x14ac:dyDescent="0.35">
      <c r="A48" s="32">
        <v>43</v>
      </c>
      <c r="B48" s="40">
        <f>Settings!$B$4+7*($A48-1)</f>
        <v>46621</v>
      </c>
      <c r="C48" s="34"/>
      <c r="D48" s="34"/>
      <c r="E48" s="34"/>
      <c r="F48" s="34"/>
      <c r="G48" s="36" t="str">
        <f t="shared" si="4"/>
        <v/>
      </c>
      <c r="H48" s="36" t="str">
        <f t="shared" si="5"/>
        <v/>
      </c>
      <c r="I48" s="36" t="str">
        <f t="shared" si="6"/>
        <v/>
      </c>
      <c r="J48" s="36" t="str">
        <f t="shared" si="7"/>
        <v/>
      </c>
    </row>
    <row r="49" spans="1:10" x14ac:dyDescent="0.35">
      <c r="A49" s="32">
        <v>44</v>
      </c>
      <c r="B49" s="40">
        <f>Settings!$B$4+7*($A49-1)</f>
        <v>46628</v>
      </c>
      <c r="C49" s="34"/>
      <c r="D49" s="34"/>
      <c r="E49" s="34"/>
      <c r="F49" s="34"/>
      <c r="G49" s="36" t="str">
        <f t="shared" si="4"/>
        <v/>
      </c>
      <c r="H49" s="36" t="str">
        <f t="shared" si="5"/>
        <v/>
      </c>
      <c r="I49" s="36" t="str">
        <f t="shared" si="6"/>
        <v/>
      </c>
      <c r="J49" s="36" t="str">
        <f t="shared" si="7"/>
        <v/>
      </c>
    </row>
    <row r="50" spans="1:10" x14ac:dyDescent="0.35">
      <c r="A50" s="32">
        <v>45</v>
      </c>
      <c r="B50" s="40">
        <f>Settings!$B$4+7*($A50-1)</f>
        <v>46635</v>
      </c>
      <c r="C50" s="34"/>
      <c r="D50" s="34"/>
      <c r="E50" s="34"/>
      <c r="F50" s="34"/>
      <c r="G50" s="36" t="str">
        <f t="shared" si="4"/>
        <v/>
      </c>
      <c r="H50" s="36" t="str">
        <f t="shared" si="5"/>
        <v/>
      </c>
      <c r="I50" s="36" t="str">
        <f t="shared" si="6"/>
        <v/>
      </c>
      <c r="J50" s="36" t="str">
        <f t="shared" si="7"/>
        <v/>
      </c>
    </row>
    <row r="51" spans="1:10" x14ac:dyDescent="0.35">
      <c r="A51" s="32">
        <v>46</v>
      </c>
      <c r="B51" s="40">
        <f>Settings!$B$4+7*($A51-1)</f>
        <v>46642</v>
      </c>
      <c r="C51" s="34"/>
      <c r="D51" s="34"/>
      <c r="E51" s="34"/>
      <c r="F51" s="34"/>
      <c r="G51" s="36" t="str">
        <f t="shared" si="4"/>
        <v/>
      </c>
      <c r="H51" s="36" t="str">
        <f t="shared" si="5"/>
        <v/>
      </c>
      <c r="I51" s="36" t="str">
        <f t="shared" si="6"/>
        <v/>
      </c>
      <c r="J51" s="36" t="str">
        <f t="shared" si="7"/>
        <v/>
      </c>
    </row>
    <row r="52" spans="1:10" x14ac:dyDescent="0.35">
      <c r="A52" s="32">
        <v>47</v>
      </c>
      <c r="B52" s="40">
        <f>Settings!$B$4+7*($A52-1)</f>
        <v>46649</v>
      </c>
      <c r="C52" s="34"/>
      <c r="D52" s="34"/>
      <c r="E52" s="34"/>
      <c r="F52" s="34"/>
      <c r="G52" s="36" t="str">
        <f t="shared" si="4"/>
        <v/>
      </c>
      <c r="H52" s="36" t="str">
        <f t="shared" si="5"/>
        <v/>
      </c>
      <c r="I52" s="36" t="str">
        <f t="shared" si="6"/>
        <v/>
      </c>
      <c r="J52" s="36" t="str">
        <f t="shared" si="7"/>
        <v/>
      </c>
    </row>
    <row r="53" spans="1:10" x14ac:dyDescent="0.35">
      <c r="A53" s="32">
        <v>48</v>
      </c>
      <c r="B53" s="40">
        <f>Settings!$B$4+7*($A53-1)</f>
        <v>46656</v>
      </c>
      <c r="C53" s="34"/>
      <c r="D53" s="34"/>
      <c r="E53" s="34"/>
      <c r="F53" s="34"/>
      <c r="G53" s="36" t="str">
        <f t="shared" si="4"/>
        <v/>
      </c>
      <c r="H53" s="36" t="str">
        <f t="shared" si="5"/>
        <v/>
      </c>
      <c r="I53" s="36" t="str">
        <f t="shared" si="6"/>
        <v/>
      </c>
      <c r="J53" s="36" t="str">
        <f t="shared" si="7"/>
        <v/>
      </c>
    </row>
    <row r="54" spans="1:10" x14ac:dyDescent="0.35">
      <c r="A54" s="32">
        <v>49</v>
      </c>
      <c r="B54" s="40">
        <f>Settings!$B$4+7*($A54-1)</f>
        <v>46663</v>
      </c>
      <c r="C54" s="34"/>
      <c r="D54" s="34"/>
      <c r="E54" s="34"/>
      <c r="F54" s="34"/>
      <c r="G54" s="36" t="str">
        <f t="shared" si="4"/>
        <v/>
      </c>
      <c r="H54" s="36" t="str">
        <f t="shared" si="5"/>
        <v/>
      </c>
      <c r="I54" s="36" t="str">
        <f t="shared" si="6"/>
        <v/>
      </c>
      <c r="J54" s="36" t="str">
        <f t="shared" si="7"/>
        <v/>
      </c>
    </row>
    <row r="55" spans="1:10" x14ac:dyDescent="0.35">
      <c r="A55" s="32">
        <v>50</v>
      </c>
      <c r="B55" s="40">
        <f>Settings!$B$4+7*($A55-1)</f>
        <v>46670</v>
      </c>
      <c r="C55" s="34"/>
      <c r="D55" s="34"/>
      <c r="E55" s="34"/>
      <c r="F55" s="34"/>
      <c r="G55" s="36" t="str">
        <f t="shared" si="4"/>
        <v/>
      </c>
      <c r="H55" s="36" t="str">
        <f t="shared" si="5"/>
        <v/>
      </c>
      <c r="I55" s="36" t="str">
        <f t="shared" si="6"/>
        <v/>
      </c>
      <c r="J55" s="36" t="str">
        <f t="shared" si="7"/>
        <v/>
      </c>
    </row>
    <row r="56" spans="1:10" x14ac:dyDescent="0.35">
      <c r="A56" s="32">
        <v>51</v>
      </c>
      <c r="B56" s="40">
        <f>Settings!$B$4+7*($A56-1)</f>
        <v>46677</v>
      </c>
      <c r="C56" s="34"/>
      <c r="D56" s="34"/>
      <c r="E56" s="34"/>
      <c r="F56" s="34"/>
      <c r="G56" s="36" t="str">
        <f t="shared" si="4"/>
        <v/>
      </c>
      <c r="H56" s="36" t="str">
        <f t="shared" si="5"/>
        <v/>
      </c>
      <c r="I56" s="36" t="str">
        <f t="shared" si="6"/>
        <v/>
      </c>
      <c r="J56" s="36" t="str">
        <f t="shared" si="7"/>
        <v/>
      </c>
    </row>
    <row r="57" spans="1:10" x14ac:dyDescent="0.35">
      <c r="A57" s="32">
        <v>52</v>
      </c>
      <c r="B57" s="40">
        <f>Settings!$B$4+7*($A57-1)</f>
        <v>46684</v>
      </c>
      <c r="C57" s="34"/>
      <c r="D57" s="34"/>
      <c r="E57" s="34"/>
      <c r="F57" s="34"/>
      <c r="G57" s="36" t="str">
        <f t="shared" si="4"/>
        <v/>
      </c>
      <c r="H57" s="36" t="str">
        <f t="shared" si="5"/>
        <v/>
      </c>
      <c r="I57" s="36" t="str">
        <f t="shared" si="6"/>
        <v/>
      </c>
      <c r="J57" s="36" t="str">
        <f t="shared" si="7"/>
        <v/>
      </c>
    </row>
  </sheetData>
  <dataValidations count="1">
    <dataValidation type="decimal" operator="greaterThanOrEqual" allowBlank="1" error="Enter a number &gt;= 0" sqref="C6:F57" xr:uid="{00000000-0002-0000-0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A259"/>
  </sheetPr>
  <dimension ref="A1:K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2" width="10" customWidth="1"/>
    <col min="3" max="5" width="12" customWidth="1"/>
    <col min="6" max="6" width="11" customWidth="1"/>
    <col min="7" max="7" width="12" customWidth="1"/>
    <col min="8" max="8" width="13" customWidth="1"/>
    <col min="10" max="10" width="16" customWidth="1"/>
    <col min="11" max="11" width="14" customWidth="1"/>
  </cols>
  <sheetData>
    <row r="1" spans="1:11" ht="18" x14ac:dyDescent="0.4">
      <c r="A1" s="8" t="s">
        <v>147</v>
      </c>
    </row>
    <row r="2" spans="1:11" x14ac:dyDescent="0.35">
      <c r="A2" s="9" t="s">
        <v>148</v>
      </c>
    </row>
    <row r="3" spans="1:11" x14ac:dyDescent="0.35">
      <c r="A3" s="31" t="s">
        <v>120</v>
      </c>
    </row>
    <row r="4" spans="1:11" x14ac:dyDescent="0.35">
      <c r="J4" s="39" t="s">
        <v>149</v>
      </c>
    </row>
    <row r="5" spans="1:11" ht="48" customHeight="1" x14ac:dyDescent="0.35">
      <c r="A5" s="19" t="s">
        <v>106</v>
      </c>
      <c r="B5" s="19" t="s">
        <v>107</v>
      </c>
      <c r="C5" s="19" t="s">
        <v>150</v>
      </c>
      <c r="D5" s="19" t="s">
        <v>151</v>
      </c>
      <c r="E5" s="19" t="s">
        <v>152</v>
      </c>
      <c r="F5" s="19" t="s">
        <v>153</v>
      </c>
      <c r="G5" s="19" t="s">
        <v>154</v>
      </c>
      <c r="H5" s="19" t="s">
        <v>155</v>
      </c>
      <c r="J5" s="19" t="s">
        <v>156</v>
      </c>
      <c r="K5" s="19" t="s">
        <v>157</v>
      </c>
    </row>
    <row r="6" spans="1:11" x14ac:dyDescent="0.35">
      <c r="A6" s="32">
        <v>1</v>
      </c>
      <c r="B6" s="33">
        <f>EDATE(Settings!$B$4,$A6-1)</f>
        <v>46327</v>
      </c>
      <c r="C6" s="34">
        <v>60</v>
      </c>
      <c r="D6" s="34">
        <v>25</v>
      </c>
      <c r="E6" s="34">
        <v>15</v>
      </c>
      <c r="F6" s="35">
        <f t="shared" ref="F6:F17" si="0">IF(COUNT(C6:E6)=0,"",SUM(C6:E6))</f>
        <v>100</v>
      </c>
      <c r="G6" s="32">
        <f t="shared" ref="G6:G17" si="1">IF(AND(ISNUMBER(F6),N(F6)&gt;0),(C6-E6)/F6*100,"")</f>
        <v>45</v>
      </c>
      <c r="H6" s="34">
        <v>6</v>
      </c>
      <c r="J6" s="41" t="s">
        <v>158</v>
      </c>
      <c r="K6" s="35">
        <f>SUM(H6:H8)</f>
        <v>6</v>
      </c>
    </row>
    <row r="7" spans="1:11" x14ac:dyDescent="0.35">
      <c r="A7" s="32">
        <v>2</v>
      </c>
      <c r="B7" s="33">
        <f>EDATE(Settings!$B$4,$A7-1)</f>
        <v>46357</v>
      </c>
      <c r="C7" s="34"/>
      <c r="D7" s="34"/>
      <c r="E7" s="34"/>
      <c r="F7" s="35" t="str">
        <f t="shared" si="0"/>
        <v/>
      </c>
      <c r="G7" s="32" t="str">
        <f t="shared" si="1"/>
        <v/>
      </c>
      <c r="H7" s="34"/>
      <c r="J7" s="41" t="s">
        <v>159</v>
      </c>
      <c r="K7" s="35">
        <f>SUM(H9:H11)</f>
        <v>0</v>
      </c>
    </row>
    <row r="8" spans="1:11" x14ac:dyDescent="0.35">
      <c r="A8" s="32">
        <v>3</v>
      </c>
      <c r="B8" s="33">
        <f>EDATE(Settings!$B$4,$A8-1)</f>
        <v>46388</v>
      </c>
      <c r="C8" s="34"/>
      <c r="D8" s="34"/>
      <c r="E8" s="34"/>
      <c r="F8" s="35" t="str">
        <f t="shared" si="0"/>
        <v/>
      </c>
      <c r="G8" s="32" t="str">
        <f t="shared" si="1"/>
        <v/>
      </c>
      <c r="H8" s="34"/>
      <c r="J8" s="41" t="s">
        <v>160</v>
      </c>
      <c r="K8" s="35">
        <f>SUM(H12:H14)</f>
        <v>0</v>
      </c>
    </row>
    <row r="9" spans="1:11" x14ac:dyDescent="0.35">
      <c r="A9" s="32">
        <v>4</v>
      </c>
      <c r="B9" s="33">
        <f>EDATE(Settings!$B$4,$A9-1)</f>
        <v>46419</v>
      </c>
      <c r="C9" s="34"/>
      <c r="D9" s="34"/>
      <c r="E9" s="34"/>
      <c r="F9" s="35" t="str">
        <f t="shared" si="0"/>
        <v/>
      </c>
      <c r="G9" s="32" t="str">
        <f t="shared" si="1"/>
        <v/>
      </c>
      <c r="H9" s="34"/>
      <c r="J9" s="41" t="s">
        <v>161</v>
      </c>
      <c r="K9" s="35">
        <f>SUM(H15:H17)</f>
        <v>0</v>
      </c>
    </row>
    <row r="10" spans="1:11" x14ac:dyDescent="0.35">
      <c r="A10" s="32">
        <v>5</v>
      </c>
      <c r="B10" s="33">
        <f>EDATE(Settings!$B$4,$A10-1)</f>
        <v>46447</v>
      </c>
      <c r="C10" s="34"/>
      <c r="D10" s="34"/>
      <c r="E10" s="34"/>
      <c r="F10" s="35" t="str">
        <f t="shared" si="0"/>
        <v/>
      </c>
      <c r="G10" s="32" t="str">
        <f t="shared" si="1"/>
        <v/>
      </c>
      <c r="H10" s="34"/>
    </row>
    <row r="11" spans="1:11" x14ac:dyDescent="0.35">
      <c r="A11" s="32">
        <v>6</v>
      </c>
      <c r="B11" s="33">
        <f>EDATE(Settings!$B$4,$A11-1)</f>
        <v>46478</v>
      </c>
      <c r="C11" s="34"/>
      <c r="D11" s="34"/>
      <c r="E11" s="34"/>
      <c r="F11" s="35" t="str">
        <f t="shared" si="0"/>
        <v/>
      </c>
      <c r="G11" s="32" t="str">
        <f t="shared" si="1"/>
        <v/>
      </c>
      <c r="H11" s="34"/>
    </row>
    <row r="12" spans="1:11" x14ac:dyDescent="0.35">
      <c r="A12" s="32">
        <v>7</v>
      </c>
      <c r="B12" s="33">
        <f>EDATE(Settings!$B$4,$A12-1)</f>
        <v>46508</v>
      </c>
      <c r="C12" s="34"/>
      <c r="D12" s="34"/>
      <c r="E12" s="34"/>
      <c r="F12" s="35" t="str">
        <f t="shared" si="0"/>
        <v/>
      </c>
      <c r="G12" s="32" t="str">
        <f t="shared" si="1"/>
        <v/>
      </c>
      <c r="H12" s="34"/>
    </row>
    <row r="13" spans="1:11" x14ac:dyDescent="0.35">
      <c r="A13" s="32">
        <v>8</v>
      </c>
      <c r="B13" s="33">
        <f>EDATE(Settings!$B$4,$A13-1)</f>
        <v>46539</v>
      </c>
      <c r="C13" s="34"/>
      <c r="D13" s="34"/>
      <c r="E13" s="34"/>
      <c r="F13" s="35" t="str">
        <f t="shared" si="0"/>
        <v/>
      </c>
      <c r="G13" s="32" t="str">
        <f t="shared" si="1"/>
        <v/>
      </c>
      <c r="H13" s="34"/>
    </row>
    <row r="14" spans="1:11" x14ac:dyDescent="0.35">
      <c r="A14" s="32">
        <v>9</v>
      </c>
      <c r="B14" s="33">
        <f>EDATE(Settings!$B$4,$A14-1)</f>
        <v>46569</v>
      </c>
      <c r="C14" s="34"/>
      <c r="D14" s="34"/>
      <c r="E14" s="34"/>
      <c r="F14" s="35" t="str">
        <f t="shared" si="0"/>
        <v/>
      </c>
      <c r="G14" s="32" t="str">
        <f t="shared" si="1"/>
        <v/>
      </c>
      <c r="H14" s="34"/>
    </row>
    <row r="15" spans="1:11" x14ac:dyDescent="0.35">
      <c r="A15" s="32">
        <v>10</v>
      </c>
      <c r="B15" s="33">
        <f>EDATE(Settings!$B$4,$A15-1)</f>
        <v>46600</v>
      </c>
      <c r="C15" s="34"/>
      <c r="D15" s="34"/>
      <c r="E15" s="34"/>
      <c r="F15" s="35" t="str">
        <f t="shared" si="0"/>
        <v/>
      </c>
      <c r="G15" s="32" t="str">
        <f t="shared" si="1"/>
        <v/>
      </c>
      <c r="H15" s="34"/>
    </row>
    <row r="16" spans="1:11" x14ac:dyDescent="0.35">
      <c r="A16" s="32">
        <v>11</v>
      </c>
      <c r="B16" s="33">
        <f>EDATE(Settings!$B$4,$A16-1)</f>
        <v>46631</v>
      </c>
      <c r="C16" s="34"/>
      <c r="D16" s="34"/>
      <c r="E16" s="34"/>
      <c r="F16" s="35" t="str">
        <f t="shared" si="0"/>
        <v/>
      </c>
      <c r="G16" s="32" t="str">
        <f t="shared" si="1"/>
        <v/>
      </c>
      <c r="H16" s="34"/>
    </row>
    <row r="17" spans="1:8" x14ac:dyDescent="0.35">
      <c r="A17" s="32">
        <v>12</v>
      </c>
      <c r="B17" s="33">
        <f>EDATE(Settings!$B$4,$A17-1)</f>
        <v>46661</v>
      </c>
      <c r="C17" s="34"/>
      <c r="D17" s="34"/>
      <c r="E17" s="34"/>
      <c r="F17" s="35" t="str">
        <f t="shared" si="0"/>
        <v/>
      </c>
      <c r="G17" s="32" t="str">
        <f t="shared" si="1"/>
        <v/>
      </c>
      <c r="H17" s="34"/>
    </row>
  </sheetData>
  <dataValidations count="1">
    <dataValidation type="decimal" operator="greaterThanOrEqual" allowBlank="1" error="Enter a number &gt;= 0" sqref="C6:E17 H6:H17" xr:uid="{00000000-0002-0000-05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4A259"/>
  </sheetPr>
  <dimension ref="A1:I3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8" customWidth="1"/>
    <col min="2" max="2" width="11" customWidth="1"/>
    <col min="3" max="6" width="14" customWidth="1"/>
    <col min="7" max="8" width="13" customWidth="1"/>
    <col min="9" max="9" width="14" customWidth="1"/>
  </cols>
  <sheetData>
    <row r="1" spans="1:9" ht="18" x14ac:dyDescent="0.4">
      <c r="A1" s="8" t="s">
        <v>162</v>
      </c>
    </row>
    <row r="2" spans="1:9" x14ac:dyDescent="0.35">
      <c r="A2" s="9" t="s">
        <v>163</v>
      </c>
    </row>
    <row r="3" spans="1:9" x14ac:dyDescent="0.35">
      <c r="A3" s="31" t="s">
        <v>120</v>
      </c>
    </row>
    <row r="5" spans="1:9" ht="48" customHeight="1" x14ac:dyDescent="0.35">
      <c r="A5" s="19" t="s">
        <v>164</v>
      </c>
      <c r="B5" s="19" t="s">
        <v>165</v>
      </c>
      <c r="C5" s="19" t="s">
        <v>166</v>
      </c>
      <c r="D5" s="19" t="s">
        <v>167</v>
      </c>
      <c r="E5" s="19" t="s">
        <v>168</v>
      </c>
      <c r="F5" s="19" t="s">
        <v>169</v>
      </c>
      <c r="G5" s="19" t="s">
        <v>170</v>
      </c>
      <c r="H5" s="19" t="s">
        <v>171</v>
      </c>
      <c r="I5" s="19" t="s">
        <v>172</v>
      </c>
    </row>
    <row r="6" spans="1:9" x14ac:dyDescent="0.35">
      <c r="A6" s="32">
        <v>1</v>
      </c>
      <c r="B6" s="40">
        <f>Settings!$B$4+14*($A6-1)</f>
        <v>46327</v>
      </c>
      <c r="C6" s="34">
        <v>80</v>
      </c>
      <c r="D6" s="34">
        <v>41</v>
      </c>
      <c r="E6" s="34">
        <v>150</v>
      </c>
      <c r="F6" s="34">
        <v>118</v>
      </c>
      <c r="G6" s="36">
        <f t="shared" ref="G6:G31" si="0">IF(N(C6)&gt;0,D6/C6,"")</f>
        <v>0.51249999999999996</v>
      </c>
      <c r="H6" s="36">
        <f t="shared" ref="H6:H31" si="1">IF(N(E6)&gt;0,F6/E6,"")</f>
        <v>0.78666666666666663</v>
      </c>
      <c r="I6" s="36">
        <f t="shared" ref="I6:I31" si="2">IF(AND(ISNUMBER(G6),ISNUMBER(H6)),G6-H6,"")</f>
        <v>-0.27416666666666667</v>
      </c>
    </row>
    <row r="7" spans="1:9" x14ac:dyDescent="0.35">
      <c r="A7" s="32">
        <v>2</v>
      </c>
      <c r="B7" s="40">
        <f>Settings!$B$4+14*($A7-1)</f>
        <v>46341</v>
      </c>
      <c r="C7" s="34"/>
      <c r="D7" s="34"/>
      <c r="E7" s="34"/>
      <c r="F7" s="34"/>
      <c r="G7" s="36" t="str">
        <f t="shared" si="0"/>
        <v/>
      </c>
      <c r="H7" s="36" t="str">
        <f t="shared" si="1"/>
        <v/>
      </c>
      <c r="I7" s="36" t="str">
        <f t="shared" si="2"/>
        <v/>
      </c>
    </row>
    <row r="8" spans="1:9" x14ac:dyDescent="0.35">
      <c r="A8" s="32">
        <v>3</v>
      </c>
      <c r="B8" s="40">
        <f>Settings!$B$4+14*($A8-1)</f>
        <v>46355</v>
      </c>
      <c r="C8" s="34"/>
      <c r="D8" s="34"/>
      <c r="E8" s="34"/>
      <c r="F8" s="34"/>
      <c r="G8" s="36" t="str">
        <f t="shared" si="0"/>
        <v/>
      </c>
      <c r="H8" s="36" t="str">
        <f t="shared" si="1"/>
        <v/>
      </c>
      <c r="I8" s="36" t="str">
        <f t="shared" si="2"/>
        <v/>
      </c>
    </row>
    <row r="9" spans="1:9" x14ac:dyDescent="0.35">
      <c r="A9" s="32">
        <v>4</v>
      </c>
      <c r="B9" s="40">
        <f>Settings!$B$4+14*($A9-1)</f>
        <v>46369</v>
      </c>
      <c r="C9" s="34"/>
      <c r="D9" s="34"/>
      <c r="E9" s="34"/>
      <c r="F9" s="34"/>
      <c r="G9" s="36" t="str">
        <f t="shared" si="0"/>
        <v/>
      </c>
      <c r="H9" s="36" t="str">
        <f t="shared" si="1"/>
        <v/>
      </c>
      <c r="I9" s="36" t="str">
        <f t="shared" si="2"/>
        <v/>
      </c>
    </row>
    <row r="10" spans="1:9" x14ac:dyDescent="0.35">
      <c r="A10" s="32">
        <v>5</v>
      </c>
      <c r="B10" s="40">
        <f>Settings!$B$4+14*($A10-1)</f>
        <v>46383</v>
      </c>
      <c r="C10" s="34"/>
      <c r="D10" s="34"/>
      <c r="E10" s="34"/>
      <c r="F10" s="34"/>
      <c r="G10" s="36" t="str">
        <f t="shared" si="0"/>
        <v/>
      </c>
      <c r="H10" s="36" t="str">
        <f t="shared" si="1"/>
        <v/>
      </c>
      <c r="I10" s="36" t="str">
        <f t="shared" si="2"/>
        <v/>
      </c>
    </row>
    <row r="11" spans="1:9" x14ac:dyDescent="0.35">
      <c r="A11" s="32">
        <v>6</v>
      </c>
      <c r="B11" s="40">
        <f>Settings!$B$4+14*($A11-1)</f>
        <v>46397</v>
      </c>
      <c r="C11" s="34"/>
      <c r="D11" s="34"/>
      <c r="E11" s="34"/>
      <c r="F11" s="34"/>
      <c r="G11" s="36" t="str">
        <f t="shared" si="0"/>
        <v/>
      </c>
      <c r="H11" s="36" t="str">
        <f t="shared" si="1"/>
        <v/>
      </c>
      <c r="I11" s="36" t="str">
        <f t="shared" si="2"/>
        <v/>
      </c>
    </row>
    <row r="12" spans="1:9" x14ac:dyDescent="0.35">
      <c r="A12" s="32">
        <v>7</v>
      </c>
      <c r="B12" s="40">
        <f>Settings!$B$4+14*($A12-1)</f>
        <v>46411</v>
      </c>
      <c r="C12" s="34"/>
      <c r="D12" s="34"/>
      <c r="E12" s="34"/>
      <c r="F12" s="34"/>
      <c r="G12" s="36" t="str">
        <f t="shared" si="0"/>
        <v/>
      </c>
      <c r="H12" s="36" t="str">
        <f t="shared" si="1"/>
        <v/>
      </c>
      <c r="I12" s="36" t="str">
        <f t="shared" si="2"/>
        <v/>
      </c>
    </row>
    <row r="13" spans="1:9" x14ac:dyDescent="0.35">
      <c r="A13" s="32">
        <v>8</v>
      </c>
      <c r="B13" s="40">
        <f>Settings!$B$4+14*($A13-1)</f>
        <v>46425</v>
      </c>
      <c r="C13" s="34"/>
      <c r="D13" s="34"/>
      <c r="E13" s="34"/>
      <c r="F13" s="34"/>
      <c r="G13" s="36" t="str">
        <f t="shared" si="0"/>
        <v/>
      </c>
      <c r="H13" s="36" t="str">
        <f t="shared" si="1"/>
        <v/>
      </c>
      <c r="I13" s="36" t="str">
        <f t="shared" si="2"/>
        <v/>
      </c>
    </row>
    <row r="14" spans="1:9" x14ac:dyDescent="0.35">
      <c r="A14" s="32">
        <v>9</v>
      </c>
      <c r="B14" s="40">
        <f>Settings!$B$4+14*($A14-1)</f>
        <v>46439</v>
      </c>
      <c r="C14" s="34"/>
      <c r="D14" s="34"/>
      <c r="E14" s="34"/>
      <c r="F14" s="34"/>
      <c r="G14" s="36" t="str">
        <f t="shared" si="0"/>
        <v/>
      </c>
      <c r="H14" s="36" t="str">
        <f t="shared" si="1"/>
        <v/>
      </c>
      <c r="I14" s="36" t="str">
        <f t="shared" si="2"/>
        <v/>
      </c>
    </row>
    <row r="15" spans="1:9" x14ac:dyDescent="0.35">
      <c r="A15" s="32">
        <v>10</v>
      </c>
      <c r="B15" s="40">
        <f>Settings!$B$4+14*($A15-1)</f>
        <v>46453</v>
      </c>
      <c r="C15" s="34"/>
      <c r="D15" s="34"/>
      <c r="E15" s="34"/>
      <c r="F15" s="34"/>
      <c r="G15" s="36" t="str">
        <f t="shared" si="0"/>
        <v/>
      </c>
      <c r="H15" s="36" t="str">
        <f t="shared" si="1"/>
        <v/>
      </c>
      <c r="I15" s="36" t="str">
        <f t="shared" si="2"/>
        <v/>
      </c>
    </row>
    <row r="16" spans="1:9" x14ac:dyDescent="0.35">
      <c r="A16" s="32">
        <v>11</v>
      </c>
      <c r="B16" s="40">
        <f>Settings!$B$4+14*($A16-1)</f>
        <v>46467</v>
      </c>
      <c r="C16" s="34"/>
      <c r="D16" s="34"/>
      <c r="E16" s="34"/>
      <c r="F16" s="34"/>
      <c r="G16" s="36" t="str">
        <f t="shared" si="0"/>
        <v/>
      </c>
      <c r="H16" s="36" t="str">
        <f t="shared" si="1"/>
        <v/>
      </c>
      <c r="I16" s="36" t="str">
        <f t="shared" si="2"/>
        <v/>
      </c>
    </row>
    <row r="17" spans="1:9" x14ac:dyDescent="0.35">
      <c r="A17" s="32">
        <v>12</v>
      </c>
      <c r="B17" s="40">
        <f>Settings!$B$4+14*($A17-1)</f>
        <v>46481</v>
      </c>
      <c r="C17" s="34"/>
      <c r="D17" s="34"/>
      <c r="E17" s="34"/>
      <c r="F17" s="34"/>
      <c r="G17" s="36" t="str">
        <f t="shared" si="0"/>
        <v/>
      </c>
      <c r="H17" s="36" t="str">
        <f t="shared" si="1"/>
        <v/>
      </c>
      <c r="I17" s="36" t="str">
        <f t="shared" si="2"/>
        <v/>
      </c>
    </row>
    <row r="18" spans="1:9" x14ac:dyDescent="0.35">
      <c r="A18" s="32">
        <v>13</v>
      </c>
      <c r="B18" s="40">
        <f>Settings!$B$4+14*($A18-1)</f>
        <v>46495</v>
      </c>
      <c r="C18" s="34"/>
      <c r="D18" s="34"/>
      <c r="E18" s="34"/>
      <c r="F18" s="34"/>
      <c r="G18" s="36" t="str">
        <f t="shared" si="0"/>
        <v/>
      </c>
      <c r="H18" s="36" t="str">
        <f t="shared" si="1"/>
        <v/>
      </c>
      <c r="I18" s="36" t="str">
        <f t="shared" si="2"/>
        <v/>
      </c>
    </row>
    <row r="19" spans="1:9" x14ac:dyDescent="0.35">
      <c r="A19" s="32">
        <v>14</v>
      </c>
      <c r="B19" s="40">
        <f>Settings!$B$4+14*($A19-1)</f>
        <v>46509</v>
      </c>
      <c r="C19" s="34"/>
      <c r="D19" s="34"/>
      <c r="E19" s="34"/>
      <c r="F19" s="34"/>
      <c r="G19" s="36" t="str">
        <f t="shared" si="0"/>
        <v/>
      </c>
      <c r="H19" s="36" t="str">
        <f t="shared" si="1"/>
        <v/>
      </c>
      <c r="I19" s="36" t="str">
        <f t="shared" si="2"/>
        <v/>
      </c>
    </row>
    <row r="20" spans="1:9" x14ac:dyDescent="0.35">
      <c r="A20" s="32">
        <v>15</v>
      </c>
      <c r="B20" s="40">
        <f>Settings!$B$4+14*($A20-1)</f>
        <v>46523</v>
      </c>
      <c r="C20" s="34"/>
      <c r="D20" s="34"/>
      <c r="E20" s="34"/>
      <c r="F20" s="34"/>
      <c r="G20" s="36" t="str">
        <f t="shared" si="0"/>
        <v/>
      </c>
      <c r="H20" s="36" t="str">
        <f t="shared" si="1"/>
        <v/>
      </c>
      <c r="I20" s="36" t="str">
        <f t="shared" si="2"/>
        <v/>
      </c>
    </row>
    <row r="21" spans="1:9" x14ac:dyDescent="0.35">
      <c r="A21" s="32">
        <v>16</v>
      </c>
      <c r="B21" s="40">
        <f>Settings!$B$4+14*($A21-1)</f>
        <v>46537</v>
      </c>
      <c r="C21" s="34"/>
      <c r="D21" s="34"/>
      <c r="E21" s="34"/>
      <c r="F21" s="34"/>
      <c r="G21" s="36" t="str">
        <f t="shared" si="0"/>
        <v/>
      </c>
      <c r="H21" s="36" t="str">
        <f t="shared" si="1"/>
        <v/>
      </c>
      <c r="I21" s="36" t="str">
        <f t="shared" si="2"/>
        <v/>
      </c>
    </row>
    <row r="22" spans="1:9" x14ac:dyDescent="0.35">
      <c r="A22" s="32">
        <v>17</v>
      </c>
      <c r="B22" s="40">
        <f>Settings!$B$4+14*($A22-1)</f>
        <v>46551</v>
      </c>
      <c r="C22" s="34"/>
      <c r="D22" s="34"/>
      <c r="E22" s="34"/>
      <c r="F22" s="34"/>
      <c r="G22" s="36" t="str">
        <f t="shared" si="0"/>
        <v/>
      </c>
      <c r="H22" s="36" t="str">
        <f t="shared" si="1"/>
        <v/>
      </c>
      <c r="I22" s="36" t="str">
        <f t="shared" si="2"/>
        <v/>
      </c>
    </row>
    <row r="23" spans="1:9" x14ac:dyDescent="0.35">
      <c r="A23" s="32">
        <v>18</v>
      </c>
      <c r="B23" s="40">
        <f>Settings!$B$4+14*($A23-1)</f>
        <v>46565</v>
      </c>
      <c r="C23" s="34"/>
      <c r="D23" s="34"/>
      <c r="E23" s="34"/>
      <c r="F23" s="34"/>
      <c r="G23" s="36" t="str">
        <f t="shared" si="0"/>
        <v/>
      </c>
      <c r="H23" s="36" t="str">
        <f t="shared" si="1"/>
        <v/>
      </c>
      <c r="I23" s="36" t="str">
        <f t="shared" si="2"/>
        <v/>
      </c>
    </row>
    <row r="24" spans="1:9" x14ac:dyDescent="0.35">
      <c r="A24" s="32">
        <v>19</v>
      </c>
      <c r="B24" s="40">
        <f>Settings!$B$4+14*($A24-1)</f>
        <v>46579</v>
      </c>
      <c r="C24" s="34"/>
      <c r="D24" s="34"/>
      <c r="E24" s="34"/>
      <c r="F24" s="34"/>
      <c r="G24" s="36" t="str">
        <f t="shared" si="0"/>
        <v/>
      </c>
      <c r="H24" s="36" t="str">
        <f t="shared" si="1"/>
        <v/>
      </c>
      <c r="I24" s="36" t="str">
        <f t="shared" si="2"/>
        <v/>
      </c>
    </row>
    <row r="25" spans="1:9" x14ac:dyDescent="0.35">
      <c r="A25" s="32">
        <v>20</v>
      </c>
      <c r="B25" s="40">
        <f>Settings!$B$4+14*($A25-1)</f>
        <v>46593</v>
      </c>
      <c r="C25" s="34"/>
      <c r="D25" s="34"/>
      <c r="E25" s="34"/>
      <c r="F25" s="34"/>
      <c r="G25" s="36" t="str">
        <f t="shared" si="0"/>
        <v/>
      </c>
      <c r="H25" s="36" t="str">
        <f t="shared" si="1"/>
        <v/>
      </c>
      <c r="I25" s="36" t="str">
        <f t="shared" si="2"/>
        <v/>
      </c>
    </row>
    <row r="26" spans="1:9" x14ac:dyDescent="0.35">
      <c r="A26" s="32">
        <v>21</v>
      </c>
      <c r="B26" s="40">
        <f>Settings!$B$4+14*($A26-1)</f>
        <v>46607</v>
      </c>
      <c r="C26" s="34"/>
      <c r="D26" s="34"/>
      <c r="E26" s="34"/>
      <c r="F26" s="34"/>
      <c r="G26" s="36" t="str">
        <f t="shared" si="0"/>
        <v/>
      </c>
      <c r="H26" s="36" t="str">
        <f t="shared" si="1"/>
        <v/>
      </c>
      <c r="I26" s="36" t="str">
        <f t="shared" si="2"/>
        <v/>
      </c>
    </row>
    <row r="27" spans="1:9" x14ac:dyDescent="0.35">
      <c r="A27" s="32">
        <v>22</v>
      </c>
      <c r="B27" s="40">
        <f>Settings!$B$4+14*($A27-1)</f>
        <v>46621</v>
      </c>
      <c r="C27" s="34"/>
      <c r="D27" s="34"/>
      <c r="E27" s="34"/>
      <c r="F27" s="34"/>
      <c r="G27" s="36" t="str">
        <f t="shared" si="0"/>
        <v/>
      </c>
      <c r="H27" s="36" t="str">
        <f t="shared" si="1"/>
        <v/>
      </c>
      <c r="I27" s="36" t="str">
        <f t="shared" si="2"/>
        <v/>
      </c>
    </row>
    <row r="28" spans="1:9" x14ac:dyDescent="0.35">
      <c r="A28" s="32">
        <v>23</v>
      </c>
      <c r="B28" s="40">
        <f>Settings!$B$4+14*($A28-1)</f>
        <v>46635</v>
      </c>
      <c r="C28" s="34"/>
      <c r="D28" s="34"/>
      <c r="E28" s="34"/>
      <c r="F28" s="34"/>
      <c r="G28" s="36" t="str">
        <f t="shared" si="0"/>
        <v/>
      </c>
      <c r="H28" s="36" t="str">
        <f t="shared" si="1"/>
        <v/>
      </c>
      <c r="I28" s="36" t="str">
        <f t="shared" si="2"/>
        <v/>
      </c>
    </row>
    <row r="29" spans="1:9" x14ac:dyDescent="0.35">
      <c r="A29" s="32">
        <v>24</v>
      </c>
      <c r="B29" s="40">
        <f>Settings!$B$4+14*($A29-1)</f>
        <v>46649</v>
      </c>
      <c r="C29" s="34"/>
      <c r="D29" s="34"/>
      <c r="E29" s="34"/>
      <c r="F29" s="34"/>
      <c r="G29" s="36" t="str">
        <f t="shared" si="0"/>
        <v/>
      </c>
      <c r="H29" s="36" t="str">
        <f t="shared" si="1"/>
        <v/>
      </c>
      <c r="I29" s="36" t="str">
        <f t="shared" si="2"/>
        <v/>
      </c>
    </row>
    <row r="30" spans="1:9" x14ac:dyDescent="0.35">
      <c r="A30" s="32">
        <v>25</v>
      </c>
      <c r="B30" s="40">
        <f>Settings!$B$4+14*($A30-1)</f>
        <v>46663</v>
      </c>
      <c r="C30" s="34"/>
      <c r="D30" s="34"/>
      <c r="E30" s="34"/>
      <c r="F30" s="34"/>
      <c r="G30" s="36" t="str">
        <f t="shared" si="0"/>
        <v/>
      </c>
      <c r="H30" s="36" t="str">
        <f t="shared" si="1"/>
        <v/>
      </c>
      <c r="I30" s="36" t="str">
        <f t="shared" si="2"/>
        <v/>
      </c>
    </row>
    <row r="31" spans="1:9" x14ac:dyDescent="0.35">
      <c r="A31" s="32">
        <v>26</v>
      </c>
      <c r="B31" s="40">
        <f>Settings!$B$4+14*($A31-1)</f>
        <v>46677</v>
      </c>
      <c r="C31" s="34"/>
      <c r="D31" s="34"/>
      <c r="E31" s="34"/>
      <c r="F31" s="34"/>
      <c r="G31" s="36" t="str">
        <f t="shared" si="0"/>
        <v/>
      </c>
      <c r="H31" s="36" t="str">
        <f t="shared" si="1"/>
        <v/>
      </c>
      <c r="I31" s="36" t="str">
        <f t="shared" si="2"/>
        <v/>
      </c>
    </row>
  </sheetData>
  <dataValidations count="1">
    <dataValidation type="decimal" operator="greaterThanOrEqual" allowBlank="1" error="Enter a number &gt;= 0" sqref="C6:F31" xr:uid="{00000000-0002-0000-06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A259"/>
  </sheetPr>
  <dimension ref="A1:M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2" width="10" customWidth="1"/>
    <col min="3" max="5" width="12" customWidth="1"/>
    <col min="6" max="7" width="11" customWidth="1"/>
    <col min="8" max="9" width="12" customWidth="1"/>
    <col min="10" max="10" width="11" customWidth="1"/>
    <col min="11" max="11" width="13" customWidth="1"/>
    <col min="12" max="12" width="12" customWidth="1"/>
    <col min="13" max="13" width="50" customWidth="1"/>
  </cols>
  <sheetData>
    <row r="1" spans="1:13" ht="18" x14ac:dyDescent="0.4">
      <c r="A1" s="8" t="s">
        <v>173</v>
      </c>
    </row>
    <row r="2" spans="1:13" x14ac:dyDescent="0.35">
      <c r="A2" s="9" t="s">
        <v>174</v>
      </c>
    </row>
    <row r="3" spans="1:13" x14ac:dyDescent="0.35">
      <c r="A3" s="31" t="s">
        <v>120</v>
      </c>
    </row>
    <row r="5" spans="1:13" ht="48" customHeight="1" x14ac:dyDescent="0.35">
      <c r="A5" s="19" t="s">
        <v>106</v>
      </c>
      <c r="B5" s="19" t="s">
        <v>107</v>
      </c>
      <c r="C5" s="19" t="s">
        <v>175</v>
      </c>
      <c r="D5" s="19" t="s">
        <v>176</v>
      </c>
      <c r="E5" s="19" t="s">
        <v>177</v>
      </c>
      <c r="F5" s="19" t="s">
        <v>178</v>
      </c>
      <c r="G5" s="19" t="s">
        <v>179</v>
      </c>
      <c r="H5" s="19" t="s">
        <v>180</v>
      </c>
      <c r="I5" s="19" t="s">
        <v>181</v>
      </c>
      <c r="J5" s="19" t="s">
        <v>182</v>
      </c>
      <c r="K5" s="19" t="s">
        <v>183</v>
      </c>
      <c r="L5" s="19" t="s">
        <v>184</v>
      </c>
      <c r="M5" s="19" t="s">
        <v>185</v>
      </c>
    </row>
    <row r="6" spans="1:13" x14ac:dyDescent="0.35">
      <c r="A6" s="32">
        <v>1</v>
      </c>
      <c r="B6" s="33">
        <f>EDATE(Settings!$B$4,$A6-1)</f>
        <v>46327</v>
      </c>
      <c r="C6" s="34">
        <v>12</v>
      </c>
      <c r="D6" s="34">
        <v>1</v>
      </c>
      <c r="E6" s="34">
        <v>11</v>
      </c>
      <c r="F6" s="36">
        <f t="shared" ref="F6:F17" si="0">IF(COUNT(C6,E6)=2,IF(AVERAGE(C6,E6)&gt;0,N(D6)/AVERAGE(C6,E6),""),"")</f>
        <v>8.6956521739130432E-2</v>
      </c>
      <c r="G6" s="34">
        <v>4</v>
      </c>
      <c r="H6" s="34">
        <v>885</v>
      </c>
      <c r="I6" s="42">
        <f t="shared" ref="I6:I17" si="1">IF(COUNT(C6,E6)=2,IF(AVERAGE(C6,E6)&gt;0,H6/AVERAGE(C6,E6),""),"")</f>
        <v>76.956521739130437</v>
      </c>
      <c r="J6" s="42">
        <f t="shared" ref="J6:J17" si="2">IF(COUNT(C6,E6)=2,IF(N(G6)&gt;0,AVERAGE(C6,E6)/G6,""),"")</f>
        <v>2.875</v>
      </c>
      <c r="K6" s="37">
        <v>4.0999999999999996</v>
      </c>
      <c r="L6" s="34">
        <v>10</v>
      </c>
      <c r="M6" s="38" t="s">
        <v>186</v>
      </c>
    </row>
    <row r="7" spans="1:13" x14ac:dyDescent="0.35">
      <c r="A7" s="32">
        <v>2</v>
      </c>
      <c r="B7" s="33">
        <f>EDATE(Settings!$B$4,$A7-1)</f>
        <v>46357</v>
      </c>
      <c r="C7" s="34"/>
      <c r="D7" s="34"/>
      <c r="E7" s="34"/>
      <c r="F7" s="36" t="str">
        <f t="shared" si="0"/>
        <v/>
      </c>
      <c r="G7" s="34"/>
      <c r="H7" s="34"/>
      <c r="I7" s="42" t="str">
        <f t="shared" si="1"/>
        <v/>
      </c>
      <c r="J7" s="42" t="str">
        <f t="shared" si="2"/>
        <v/>
      </c>
      <c r="K7" s="37"/>
      <c r="L7" s="34"/>
      <c r="M7" s="38"/>
    </row>
    <row r="8" spans="1:13" x14ac:dyDescent="0.35">
      <c r="A8" s="32">
        <v>3</v>
      </c>
      <c r="B8" s="33">
        <f>EDATE(Settings!$B$4,$A8-1)</f>
        <v>46388</v>
      </c>
      <c r="C8" s="34"/>
      <c r="D8" s="34"/>
      <c r="E8" s="34"/>
      <c r="F8" s="36" t="str">
        <f t="shared" si="0"/>
        <v/>
      </c>
      <c r="G8" s="34"/>
      <c r="H8" s="34"/>
      <c r="I8" s="42" t="str">
        <f t="shared" si="1"/>
        <v/>
      </c>
      <c r="J8" s="42" t="str">
        <f t="shared" si="2"/>
        <v/>
      </c>
      <c r="K8" s="37"/>
      <c r="L8" s="34"/>
      <c r="M8" s="38"/>
    </row>
    <row r="9" spans="1:13" x14ac:dyDescent="0.35">
      <c r="A9" s="32">
        <v>4</v>
      </c>
      <c r="B9" s="33">
        <f>EDATE(Settings!$B$4,$A9-1)</f>
        <v>46419</v>
      </c>
      <c r="C9" s="34"/>
      <c r="D9" s="34"/>
      <c r="E9" s="34"/>
      <c r="F9" s="36" t="str">
        <f t="shared" si="0"/>
        <v/>
      </c>
      <c r="G9" s="34"/>
      <c r="H9" s="34"/>
      <c r="I9" s="42" t="str">
        <f t="shared" si="1"/>
        <v/>
      </c>
      <c r="J9" s="42" t="str">
        <f t="shared" si="2"/>
        <v/>
      </c>
      <c r="K9" s="37"/>
      <c r="L9" s="34"/>
      <c r="M9" s="38"/>
    </row>
    <row r="10" spans="1:13" x14ac:dyDescent="0.35">
      <c r="A10" s="32">
        <v>5</v>
      </c>
      <c r="B10" s="33">
        <f>EDATE(Settings!$B$4,$A10-1)</f>
        <v>46447</v>
      </c>
      <c r="C10" s="34"/>
      <c r="D10" s="34"/>
      <c r="E10" s="34"/>
      <c r="F10" s="36" t="str">
        <f t="shared" si="0"/>
        <v/>
      </c>
      <c r="G10" s="34"/>
      <c r="H10" s="34"/>
      <c r="I10" s="42" t="str">
        <f t="shared" si="1"/>
        <v/>
      </c>
      <c r="J10" s="42" t="str">
        <f t="shared" si="2"/>
        <v/>
      </c>
      <c r="K10" s="37"/>
      <c r="L10" s="34"/>
      <c r="M10" s="38"/>
    </row>
    <row r="11" spans="1:13" x14ac:dyDescent="0.35">
      <c r="A11" s="32">
        <v>6</v>
      </c>
      <c r="B11" s="33">
        <f>EDATE(Settings!$B$4,$A11-1)</f>
        <v>46478</v>
      </c>
      <c r="C11" s="34"/>
      <c r="D11" s="34"/>
      <c r="E11" s="34"/>
      <c r="F11" s="36" t="str">
        <f t="shared" si="0"/>
        <v/>
      </c>
      <c r="G11" s="34"/>
      <c r="H11" s="34"/>
      <c r="I11" s="42" t="str">
        <f t="shared" si="1"/>
        <v/>
      </c>
      <c r="J11" s="42" t="str">
        <f t="shared" si="2"/>
        <v/>
      </c>
      <c r="K11" s="37"/>
      <c r="L11" s="34"/>
      <c r="M11" s="38"/>
    </row>
    <row r="12" spans="1:13" x14ac:dyDescent="0.35">
      <c r="A12" s="32">
        <v>7</v>
      </c>
      <c r="B12" s="33">
        <f>EDATE(Settings!$B$4,$A12-1)</f>
        <v>46508</v>
      </c>
      <c r="C12" s="34"/>
      <c r="D12" s="34"/>
      <c r="E12" s="34"/>
      <c r="F12" s="36" t="str">
        <f t="shared" si="0"/>
        <v/>
      </c>
      <c r="G12" s="34"/>
      <c r="H12" s="34"/>
      <c r="I12" s="42" t="str">
        <f t="shared" si="1"/>
        <v/>
      </c>
      <c r="J12" s="42" t="str">
        <f t="shared" si="2"/>
        <v/>
      </c>
      <c r="K12" s="37"/>
      <c r="L12" s="34"/>
      <c r="M12" s="38"/>
    </row>
    <row r="13" spans="1:13" x14ac:dyDescent="0.35">
      <c r="A13" s="32">
        <v>8</v>
      </c>
      <c r="B13" s="33">
        <f>EDATE(Settings!$B$4,$A13-1)</f>
        <v>46539</v>
      </c>
      <c r="C13" s="34"/>
      <c r="D13" s="34"/>
      <c r="E13" s="34"/>
      <c r="F13" s="36" t="str">
        <f t="shared" si="0"/>
        <v/>
      </c>
      <c r="G13" s="34"/>
      <c r="H13" s="34"/>
      <c r="I13" s="42" t="str">
        <f t="shared" si="1"/>
        <v/>
      </c>
      <c r="J13" s="42" t="str">
        <f t="shared" si="2"/>
        <v/>
      </c>
      <c r="K13" s="37"/>
      <c r="L13" s="34"/>
      <c r="M13" s="38"/>
    </row>
    <row r="14" spans="1:13" x14ac:dyDescent="0.35">
      <c r="A14" s="32">
        <v>9</v>
      </c>
      <c r="B14" s="33">
        <f>EDATE(Settings!$B$4,$A14-1)</f>
        <v>46569</v>
      </c>
      <c r="C14" s="34"/>
      <c r="D14" s="34"/>
      <c r="E14" s="34"/>
      <c r="F14" s="36" t="str">
        <f t="shared" si="0"/>
        <v/>
      </c>
      <c r="G14" s="34"/>
      <c r="H14" s="34"/>
      <c r="I14" s="42" t="str">
        <f t="shared" si="1"/>
        <v/>
      </c>
      <c r="J14" s="42" t="str">
        <f t="shared" si="2"/>
        <v/>
      </c>
      <c r="K14" s="37"/>
      <c r="L14" s="34"/>
      <c r="M14" s="38"/>
    </row>
    <row r="15" spans="1:13" x14ac:dyDescent="0.35">
      <c r="A15" s="32">
        <v>10</v>
      </c>
      <c r="B15" s="33">
        <f>EDATE(Settings!$B$4,$A15-1)</f>
        <v>46600</v>
      </c>
      <c r="C15" s="34"/>
      <c r="D15" s="34"/>
      <c r="E15" s="34"/>
      <c r="F15" s="36" t="str">
        <f t="shared" si="0"/>
        <v/>
      </c>
      <c r="G15" s="34"/>
      <c r="H15" s="34"/>
      <c r="I15" s="42" t="str">
        <f t="shared" si="1"/>
        <v/>
      </c>
      <c r="J15" s="42" t="str">
        <f t="shared" si="2"/>
        <v/>
      </c>
      <c r="K15" s="37"/>
      <c r="L15" s="34"/>
      <c r="M15" s="38"/>
    </row>
    <row r="16" spans="1:13" x14ac:dyDescent="0.35">
      <c r="A16" s="32">
        <v>11</v>
      </c>
      <c r="B16" s="33">
        <f>EDATE(Settings!$B$4,$A16-1)</f>
        <v>46631</v>
      </c>
      <c r="C16" s="34"/>
      <c r="D16" s="34"/>
      <c r="E16" s="34"/>
      <c r="F16" s="36" t="str">
        <f t="shared" si="0"/>
        <v/>
      </c>
      <c r="G16" s="34"/>
      <c r="H16" s="34"/>
      <c r="I16" s="42" t="str">
        <f t="shared" si="1"/>
        <v/>
      </c>
      <c r="J16" s="42" t="str">
        <f t="shared" si="2"/>
        <v/>
      </c>
      <c r="K16" s="37"/>
      <c r="L16" s="34"/>
      <c r="M16" s="38"/>
    </row>
    <row r="17" spans="1:13" x14ac:dyDescent="0.35">
      <c r="A17" s="32">
        <v>12</v>
      </c>
      <c r="B17" s="33">
        <f>EDATE(Settings!$B$4,$A17-1)</f>
        <v>46661</v>
      </c>
      <c r="C17" s="34"/>
      <c r="D17" s="34"/>
      <c r="E17" s="34"/>
      <c r="F17" s="36" t="str">
        <f t="shared" si="0"/>
        <v/>
      </c>
      <c r="G17" s="34"/>
      <c r="H17" s="34"/>
      <c r="I17" s="42" t="str">
        <f t="shared" si="1"/>
        <v/>
      </c>
      <c r="J17" s="42" t="str">
        <f t="shared" si="2"/>
        <v/>
      </c>
      <c r="K17" s="37"/>
      <c r="L17" s="34"/>
      <c r="M17" s="38"/>
    </row>
  </sheetData>
  <dataValidations count="2">
    <dataValidation type="decimal" operator="greaterThanOrEqual" allowBlank="1" error="Enter a number &gt;= 0" sqref="C6:E17 G6:H17 L6:L17" xr:uid="{00000000-0002-0000-0700-000000000000}">
      <formula1>0</formula1>
      <formula2>0</formula2>
    </dataValidation>
    <dataValidation type="decimal" allowBlank="1" error="Enter a score between 1 and 5" sqref="K6:K17" xr:uid="{00000000-0002-0000-0700-000001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A259"/>
  </sheetPr>
  <dimension ref="A1:P20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8" customWidth="1"/>
    <col min="2" max="3" width="11" customWidth="1"/>
    <col min="4" max="4" width="15" customWidth="1"/>
    <col min="5" max="7" width="12" customWidth="1"/>
    <col min="8" max="9" width="13" customWidth="1"/>
    <col min="11" max="11" width="18" customWidth="1"/>
    <col min="12" max="12" width="12" customWidth="1"/>
    <col min="13" max="14" width="13" customWidth="1"/>
    <col min="15" max="15" width="15" customWidth="1"/>
    <col min="16" max="16" width="13" customWidth="1"/>
  </cols>
  <sheetData>
    <row r="1" spans="1:16" ht="18" x14ac:dyDescent="0.4">
      <c r="A1" s="8" t="s">
        <v>187</v>
      </c>
    </row>
    <row r="2" spans="1:16" x14ac:dyDescent="0.35">
      <c r="A2" s="9" t="s">
        <v>188</v>
      </c>
    </row>
    <row r="3" spans="1:16" x14ac:dyDescent="0.35">
      <c r="A3" s="31" t="s">
        <v>120</v>
      </c>
    </row>
    <row r="4" spans="1:16" x14ac:dyDescent="0.35">
      <c r="K4" s="39" t="s">
        <v>189</v>
      </c>
    </row>
    <row r="5" spans="1:16" ht="48" customHeight="1" x14ac:dyDescent="0.35">
      <c r="A5" s="19" t="s">
        <v>131</v>
      </c>
      <c r="B5" s="19" t="s">
        <v>132</v>
      </c>
      <c r="C5" s="19" t="s">
        <v>190</v>
      </c>
      <c r="D5" s="19" t="s">
        <v>191</v>
      </c>
      <c r="E5" s="19" t="s">
        <v>192</v>
      </c>
      <c r="F5" s="19" t="s">
        <v>193</v>
      </c>
      <c r="G5" s="19" t="s">
        <v>194</v>
      </c>
      <c r="H5" s="19" t="s">
        <v>195</v>
      </c>
      <c r="I5" s="19" t="s">
        <v>196</v>
      </c>
      <c r="K5" s="19" t="s">
        <v>191</v>
      </c>
      <c r="L5" s="19" t="s">
        <v>197</v>
      </c>
      <c r="M5" s="19" t="s">
        <v>193</v>
      </c>
      <c r="N5" s="19" t="s">
        <v>194</v>
      </c>
      <c r="O5" s="19" t="s">
        <v>195</v>
      </c>
      <c r="P5" s="19" t="s">
        <v>196</v>
      </c>
    </row>
    <row r="6" spans="1:16" x14ac:dyDescent="0.35">
      <c r="A6" s="34">
        <v>1</v>
      </c>
      <c r="B6" s="40">
        <f>IF($A6="","",Settings!$B$4+7*($A6-1))</f>
        <v>46327</v>
      </c>
      <c r="C6" s="38" t="s">
        <v>198</v>
      </c>
      <c r="D6" s="38" t="s">
        <v>199</v>
      </c>
      <c r="E6" s="34">
        <v>1200</v>
      </c>
      <c r="F6" s="34">
        <v>310</v>
      </c>
      <c r="G6" s="34">
        <v>150</v>
      </c>
      <c r="H6" s="36">
        <f t="shared" ref="H6:H37" si="0">IF(N(E6)&gt;0,F6/E6,"")</f>
        <v>0.25833333333333336</v>
      </c>
      <c r="I6" s="36">
        <f t="shared" ref="I6:I37" si="1">IF(N(F6)&gt;0,G6/F6,"")</f>
        <v>0.4838709677419355</v>
      </c>
      <c r="K6" s="41" t="str">
        <f>Settings!$H$4</f>
        <v>Market</v>
      </c>
      <c r="L6" s="35">
        <f>SUMIFS($E$6:$E$205,$D$6:$D$205,$K6)</f>
        <v>1200</v>
      </c>
      <c r="M6" s="35">
        <f>SUMIFS($F$6:$F$205,$D$6:$D$205,$K6)</f>
        <v>310</v>
      </c>
      <c r="N6" s="35">
        <f>SUMIFS($G$6:$G$205,$D$6:$D$205,$K6)</f>
        <v>150</v>
      </c>
      <c r="O6" s="36">
        <f t="shared" ref="O6:P9" si="2">IF(L6&gt;0,M6/L6,"")</f>
        <v>0.25833333333333336</v>
      </c>
      <c r="P6" s="36">
        <f t="shared" si="2"/>
        <v>0.4838709677419355</v>
      </c>
    </row>
    <row r="7" spans="1:16" x14ac:dyDescent="0.35">
      <c r="A7" s="34"/>
      <c r="B7" s="40" t="str">
        <f>IF($A7="","",Settings!$B$4+7*($A7-1))</f>
        <v/>
      </c>
      <c r="C7" s="38"/>
      <c r="D7" s="38"/>
      <c r="E7" s="34"/>
      <c r="F7" s="34"/>
      <c r="G7" s="34"/>
      <c r="H7" s="36" t="str">
        <f t="shared" si="0"/>
        <v/>
      </c>
      <c r="I7" s="36" t="str">
        <f t="shared" si="1"/>
        <v/>
      </c>
      <c r="K7" s="41" t="str">
        <f>Settings!$H$5</f>
        <v>Park</v>
      </c>
      <c r="L7" s="35">
        <f>SUMIFS($E$6:$E$205,$D$6:$D$205,$K7)</f>
        <v>0</v>
      </c>
      <c r="M7" s="35">
        <f>SUMIFS($F$6:$F$205,$D$6:$D$205,$K7)</f>
        <v>0</v>
      </c>
      <c r="N7" s="35">
        <f>SUMIFS($G$6:$G$205,$D$6:$D$205,$K7)</f>
        <v>0</v>
      </c>
      <c r="O7" s="36" t="str">
        <f t="shared" si="2"/>
        <v/>
      </c>
      <c r="P7" s="36" t="str">
        <f t="shared" si="2"/>
        <v/>
      </c>
    </row>
    <row r="8" spans="1:16" x14ac:dyDescent="0.35">
      <c r="A8" s="34"/>
      <c r="B8" s="40" t="str">
        <f>IF($A8="","",Settings!$B$4+7*($A8-1))</f>
        <v/>
      </c>
      <c r="C8" s="38"/>
      <c r="D8" s="38"/>
      <c r="E8" s="34"/>
      <c r="F8" s="34"/>
      <c r="G8" s="34"/>
      <c r="H8" s="36" t="str">
        <f t="shared" si="0"/>
        <v/>
      </c>
      <c r="I8" s="36" t="str">
        <f t="shared" si="1"/>
        <v/>
      </c>
      <c r="K8" s="41" t="str">
        <f>Settings!$H$6</f>
        <v>Health facility</v>
      </c>
      <c r="L8" s="35">
        <f>SUMIFS($E$6:$E$205,$D$6:$D$205,$K8)</f>
        <v>0</v>
      </c>
      <c r="M8" s="35">
        <f>SUMIFS($F$6:$F$205,$D$6:$D$205,$K8)</f>
        <v>0</v>
      </c>
      <c r="N8" s="35">
        <f>SUMIFS($G$6:$G$205,$D$6:$D$205,$K8)</f>
        <v>0</v>
      </c>
      <c r="O8" s="36" t="str">
        <f t="shared" si="2"/>
        <v/>
      </c>
      <c r="P8" s="36" t="str">
        <f t="shared" si="2"/>
        <v/>
      </c>
    </row>
    <row r="9" spans="1:16" x14ac:dyDescent="0.35">
      <c r="A9" s="34"/>
      <c r="B9" s="40" t="str">
        <f>IF($A9="","",Settings!$B$4+7*($A9-1))</f>
        <v/>
      </c>
      <c r="C9" s="38"/>
      <c r="D9" s="38"/>
      <c r="E9" s="34"/>
      <c r="F9" s="34"/>
      <c r="G9" s="34"/>
      <c r="H9" s="36" t="str">
        <f t="shared" si="0"/>
        <v/>
      </c>
      <c r="I9" s="36" t="str">
        <f t="shared" si="1"/>
        <v/>
      </c>
      <c r="K9" s="41" t="str">
        <f>Settings!$H$7</f>
        <v>Other</v>
      </c>
      <c r="L9" s="35">
        <f>SUMIFS($E$6:$E$205,$D$6:$D$205,$K9)</f>
        <v>0</v>
      </c>
      <c r="M9" s="35">
        <f>SUMIFS($F$6:$F$205,$D$6:$D$205,$K9)</f>
        <v>0</v>
      </c>
      <c r="N9" s="35">
        <f>SUMIFS($G$6:$G$205,$D$6:$D$205,$K9)</f>
        <v>0</v>
      </c>
      <c r="O9" s="36" t="str">
        <f t="shared" si="2"/>
        <v/>
      </c>
      <c r="P9" s="36" t="str">
        <f t="shared" si="2"/>
        <v/>
      </c>
    </row>
    <row r="10" spans="1:16" x14ac:dyDescent="0.35">
      <c r="A10" s="34"/>
      <c r="B10" s="40" t="str">
        <f>IF($A10="","",Settings!$B$4+7*($A10-1))</f>
        <v/>
      </c>
      <c r="C10" s="38"/>
      <c r="D10" s="38"/>
      <c r="E10" s="34"/>
      <c r="F10" s="34"/>
      <c r="G10" s="34"/>
      <c r="H10" s="36" t="str">
        <f t="shared" si="0"/>
        <v/>
      </c>
      <c r="I10" s="36" t="str">
        <f t="shared" si="1"/>
        <v/>
      </c>
    </row>
    <row r="11" spans="1:16" x14ac:dyDescent="0.35">
      <c r="A11" s="34"/>
      <c r="B11" s="40" t="str">
        <f>IF($A11="","",Settings!$B$4+7*($A11-1))</f>
        <v/>
      </c>
      <c r="C11" s="38"/>
      <c r="D11" s="38"/>
      <c r="E11" s="34"/>
      <c r="F11" s="34"/>
      <c r="G11" s="34"/>
      <c r="H11" s="36" t="str">
        <f t="shared" si="0"/>
        <v/>
      </c>
      <c r="I11" s="36" t="str">
        <f t="shared" si="1"/>
        <v/>
      </c>
    </row>
    <row r="12" spans="1:16" x14ac:dyDescent="0.35">
      <c r="A12" s="34"/>
      <c r="B12" s="40" t="str">
        <f>IF($A12="","",Settings!$B$4+7*($A12-1))</f>
        <v/>
      </c>
      <c r="C12" s="38"/>
      <c r="D12" s="38"/>
      <c r="E12" s="34"/>
      <c r="F12" s="34"/>
      <c r="G12" s="34"/>
      <c r="H12" s="36" t="str">
        <f t="shared" si="0"/>
        <v/>
      </c>
      <c r="I12" s="36" t="str">
        <f t="shared" si="1"/>
        <v/>
      </c>
    </row>
    <row r="13" spans="1:16" x14ac:dyDescent="0.35">
      <c r="A13" s="34"/>
      <c r="B13" s="40" t="str">
        <f>IF($A13="","",Settings!$B$4+7*($A13-1))</f>
        <v/>
      </c>
      <c r="C13" s="38"/>
      <c r="D13" s="38"/>
      <c r="E13" s="34"/>
      <c r="F13" s="34"/>
      <c r="G13" s="34"/>
      <c r="H13" s="36" t="str">
        <f t="shared" si="0"/>
        <v/>
      </c>
      <c r="I13" s="36" t="str">
        <f t="shared" si="1"/>
        <v/>
      </c>
    </row>
    <row r="14" spans="1:16" x14ac:dyDescent="0.35">
      <c r="A14" s="34"/>
      <c r="B14" s="40" t="str">
        <f>IF($A14="","",Settings!$B$4+7*($A14-1))</f>
        <v/>
      </c>
      <c r="C14" s="38"/>
      <c r="D14" s="38"/>
      <c r="E14" s="34"/>
      <c r="F14" s="34"/>
      <c r="G14" s="34"/>
      <c r="H14" s="36" t="str">
        <f t="shared" si="0"/>
        <v/>
      </c>
      <c r="I14" s="36" t="str">
        <f t="shared" si="1"/>
        <v/>
      </c>
    </row>
    <row r="15" spans="1:16" x14ac:dyDescent="0.35">
      <c r="A15" s="34"/>
      <c r="B15" s="40" t="str">
        <f>IF($A15="","",Settings!$B$4+7*($A15-1))</f>
        <v/>
      </c>
      <c r="C15" s="38"/>
      <c r="D15" s="38"/>
      <c r="E15" s="34"/>
      <c r="F15" s="34"/>
      <c r="G15" s="34"/>
      <c r="H15" s="36" t="str">
        <f t="shared" si="0"/>
        <v/>
      </c>
      <c r="I15" s="36" t="str">
        <f t="shared" si="1"/>
        <v/>
      </c>
    </row>
    <row r="16" spans="1:16" x14ac:dyDescent="0.35">
      <c r="A16" s="34"/>
      <c r="B16" s="40" t="str">
        <f>IF($A16="","",Settings!$B$4+7*($A16-1))</f>
        <v/>
      </c>
      <c r="C16" s="38"/>
      <c r="D16" s="38"/>
      <c r="E16" s="34"/>
      <c r="F16" s="34"/>
      <c r="G16" s="34"/>
      <c r="H16" s="36" t="str">
        <f t="shared" si="0"/>
        <v/>
      </c>
      <c r="I16" s="36" t="str">
        <f t="shared" si="1"/>
        <v/>
      </c>
    </row>
    <row r="17" spans="1:9" x14ac:dyDescent="0.35">
      <c r="A17" s="34"/>
      <c r="B17" s="40" t="str">
        <f>IF($A17="","",Settings!$B$4+7*($A17-1))</f>
        <v/>
      </c>
      <c r="C17" s="38"/>
      <c r="D17" s="38"/>
      <c r="E17" s="34"/>
      <c r="F17" s="34"/>
      <c r="G17" s="34"/>
      <c r="H17" s="36" t="str">
        <f t="shared" si="0"/>
        <v/>
      </c>
      <c r="I17" s="36" t="str">
        <f t="shared" si="1"/>
        <v/>
      </c>
    </row>
    <row r="18" spans="1:9" x14ac:dyDescent="0.35">
      <c r="A18" s="34"/>
      <c r="B18" s="40" t="str">
        <f>IF($A18="","",Settings!$B$4+7*($A18-1))</f>
        <v/>
      </c>
      <c r="C18" s="38"/>
      <c r="D18" s="38"/>
      <c r="E18" s="34"/>
      <c r="F18" s="34"/>
      <c r="G18" s="34"/>
      <c r="H18" s="36" t="str">
        <f t="shared" si="0"/>
        <v/>
      </c>
      <c r="I18" s="36" t="str">
        <f t="shared" si="1"/>
        <v/>
      </c>
    </row>
    <row r="19" spans="1:9" x14ac:dyDescent="0.35">
      <c r="A19" s="34"/>
      <c r="B19" s="40" t="str">
        <f>IF($A19="","",Settings!$B$4+7*($A19-1))</f>
        <v/>
      </c>
      <c r="C19" s="38"/>
      <c r="D19" s="38"/>
      <c r="E19" s="34"/>
      <c r="F19" s="34"/>
      <c r="G19" s="34"/>
      <c r="H19" s="36" t="str">
        <f t="shared" si="0"/>
        <v/>
      </c>
      <c r="I19" s="36" t="str">
        <f t="shared" si="1"/>
        <v/>
      </c>
    </row>
    <row r="20" spans="1:9" x14ac:dyDescent="0.35">
      <c r="A20" s="34"/>
      <c r="B20" s="40" t="str">
        <f>IF($A20="","",Settings!$B$4+7*($A20-1))</f>
        <v/>
      </c>
      <c r="C20" s="38"/>
      <c r="D20" s="38"/>
      <c r="E20" s="34"/>
      <c r="F20" s="34"/>
      <c r="G20" s="34"/>
      <c r="H20" s="36" t="str">
        <f t="shared" si="0"/>
        <v/>
      </c>
      <c r="I20" s="36" t="str">
        <f t="shared" si="1"/>
        <v/>
      </c>
    </row>
    <row r="21" spans="1:9" x14ac:dyDescent="0.35">
      <c r="A21" s="34"/>
      <c r="B21" s="40" t="str">
        <f>IF($A21="","",Settings!$B$4+7*($A21-1))</f>
        <v/>
      </c>
      <c r="C21" s="38"/>
      <c r="D21" s="38"/>
      <c r="E21" s="34"/>
      <c r="F21" s="34"/>
      <c r="G21" s="34"/>
      <c r="H21" s="36" t="str">
        <f t="shared" si="0"/>
        <v/>
      </c>
      <c r="I21" s="36" t="str">
        <f t="shared" si="1"/>
        <v/>
      </c>
    </row>
    <row r="22" spans="1:9" x14ac:dyDescent="0.35">
      <c r="A22" s="34"/>
      <c r="B22" s="40" t="str">
        <f>IF($A22="","",Settings!$B$4+7*($A22-1))</f>
        <v/>
      </c>
      <c r="C22" s="38"/>
      <c r="D22" s="38"/>
      <c r="E22" s="34"/>
      <c r="F22" s="34"/>
      <c r="G22" s="34"/>
      <c r="H22" s="36" t="str">
        <f t="shared" si="0"/>
        <v/>
      </c>
      <c r="I22" s="36" t="str">
        <f t="shared" si="1"/>
        <v/>
      </c>
    </row>
    <row r="23" spans="1:9" x14ac:dyDescent="0.35">
      <c r="A23" s="34"/>
      <c r="B23" s="40" t="str">
        <f>IF($A23="","",Settings!$B$4+7*($A23-1))</f>
        <v/>
      </c>
      <c r="C23" s="38"/>
      <c r="D23" s="38"/>
      <c r="E23" s="34"/>
      <c r="F23" s="34"/>
      <c r="G23" s="34"/>
      <c r="H23" s="36" t="str">
        <f t="shared" si="0"/>
        <v/>
      </c>
      <c r="I23" s="36" t="str">
        <f t="shared" si="1"/>
        <v/>
      </c>
    </row>
    <row r="24" spans="1:9" x14ac:dyDescent="0.35">
      <c r="A24" s="34"/>
      <c r="B24" s="40" t="str">
        <f>IF($A24="","",Settings!$B$4+7*($A24-1))</f>
        <v/>
      </c>
      <c r="C24" s="38"/>
      <c r="D24" s="38"/>
      <c r="E24" s="34"/>
      <c r="F24" s="34"/>
      <c r="G24" s="34"/>
      <c r="H24" s="36" t="str">
        <f t="shared" si="0"/>
        <v/>
      </c>
      <c r="I24" s="36" t="str">
        <f t="shared" si="1"/>
        <v/>
      </c>
    </row>
    <row r="25" spans="1:9" x14ac:dyDescent="0.35">
      <c r="A25" s="34"/>
      <c r="B25" s="40" t="str">
        <f>IF($A25="","",Settings!$B$4+7*($A25-1))</f>
        <v/>
      </c>
      <c r="C25" s="38"/>
      <c r="D25" s="38"/>
      <c r="E25" s="34"/>
      <c r="F25" s="34"/>
      <c r="G25" s="34"/>
      <c r="H25" s="36" t="str">
        <f t="shared" si="0"/>
        <v/>
      </c>
      <c r="I25" s="36" t="str">
        <f t="shared" si="1"/>
        <v/>
      </c>
    </row>
    <row r="26" spans="1:9" x14ac:dyDescent="0.35">
      <c r="A26" s="34"/>
      <c r="B26" s="40" t="str">
        <f>IF($A26="","",Settings!$B$4+7*($A26-1))</f>
        <v/>
      </c>
      <c r="C26" s="38"/>
      <c r="D26" s="38"/>
      <c r="E26" s="34"/>
      <c r="F26" s="34"/>
      <c r="G26" s="34"/>
      <c r="H26" s="36" t="str">
        <f t="shared" si="0"/>
        <v/>
      </c>
      <c r="I26" s="36" t="str">
        <f t="shared" si="1"/>
        <v/>
      </c>
    </row>
    <row r="27" spans="1:9" x14ac:dyDescent="0.35">
      <c r="A27" s="34"/>
      <c r="B27" s="40" t="str">
        <f>IF($A27="","",Settings!$B$4+7*($A27-1))</f>
        <v/>
      </c>
      <c r="C27" s="38"/>
      <c r="D27" s="38"/>
      <c r="E27" s="34"/>
      <c r="F27" s="34"/>
      <c r="G27" s="34"/>
      <c r="H27" s="36" t="str">
        <f t="shared" si="0"/>
        <v/>
      </c>
      <c r="I27" s="36" t="str">
        <f t="shared" si="1"/>
        <v/>
      </c>
    </row>
    <row r="28" spans="1:9" x14ac:dyDescent="0.35">
      <c r="A28" s="34"/>
      <c r="B28" s="40" t="str">
        <f>IF($A28="","",Settings!$B$4+7*($A28-1))</f>
        <v/>
      </c>
      <c r="C28" s="38"/>
      <c r="D28" s="38"/>
      <c r="E28" s="34"/>
      <c r="F28" s="34"/>
      <c r="G28" s="34"/>
      <c r="H28" s="36" t="str">
        <f t="shared" si="0"/>
        <v/>
      </c>
      <c r="I28" s="36" t="str">
        <f t="shared" si="1"/>
        <v/>
      </c>
    </row>
    <row r="29" spans="1:9" x14ac:dyDescent="0.35">
      <c r="A29" s="34"/>
      <c r="B29" s="40" t="str">
        <f>IF($A29="","",Settings!$B$4+7*($A29-1))</f>
        <v/>
      </c>
      <c r="C29" s="38"/>
      <c r="D29" s="38"/>
      <c r="E29" s="34"/>
      <c r="F29" s="34"/>
      <c r="G29" s="34"/>
      <c r="H29" s="36" t="str">
        <f t="shared" si="0"/>
        <v/>
      </c>
      <c r="I29" s="36" t="str">
        <f t="shared" si="1"/>
        <v/>
      </c>
    </row>
    <row r="30" spans="1:9" x14ac:dyDescent="0.35">
      <c r="A30" s="34"/>
      <c r="B30" s="40" t="str">
        <f>IF($A30="","",Settings!$B$4+7*($A30-1))</f>
        <v/>
      </c>
      <c r="C30" s="38"/>
      <c r="D30" s="38"/>
      <c r="E30" s="34"/>
      <c r="F30" s="34"/>
      <c r="G30" s="34"/>
      <c r="H30" s="36" t="str">
        <f t="shared" si="0"/>
        <v/>
      </c>
      <c r="I30" s="36" t="str">
        <f t="shared" si="1"/>
        <v/>
      </c>
    </row>
    <row r="31" spans="1:9" x14ac:dyDescent="0.35">
      <c r="A31" s="34"/>
      <c r="B31" s="40" t="str">
        <f>IF($A31="","",Settings!$B$4+7*($A31-1))</f>
        <v/>
      </c>
      <c r="C31" s="38"/>
      <c r="D31" s="38"/>
      <c r="E31" s="34"/>
      <c r="F31" s="34"/>
      <c r="G31" s="34"/>
      <c r="H31" s="36" t="str">
        <f t="shared" si="0"/>
        <v/>
      </c>
      <c r="I31" s="36" t="str">
        <f t="shared" si="1"/>
        <v/>
      </c>
    </row>
    <row r="32" spans="1:9" x14ac:dyDescent="0.35">
      <c r="A32" s="34"/>
      <c r="B32" s="40" t="str">
        <f>IF($A32="","",Settings!$B$4+7*($A32-1))</f>
        <v/>
      </c>
      <c r="C32" s="38"/>
      <c r="D32" s="38"/>
      <c r="E32" s="34"/>
      <c r="F32" s="34"/>
      <c r="G32" s="34"/>
      <c r="H32" s="36" t="str">
        <f t="shared" si="0"/>
        <v/>
      </c>
      <c r="I32" s="36" t="str">
        <f t="shared" si="1"/>
        <v/>
      </c>
    </row>
    <row r="33" spans="1:9" x14ac:dyDescent="0.35">
      <c r="A33" s="34"/>
      <c r="B33" s="40" t="str">
        <f>IF($A33="","",Settings!$B$4+7*($A33-1))</f>
        <v/>
      </c>
      <c r="C33" s="38"/>
      <c r="D33" s="38"/>
      <c r="E33" s="34"/>
      <c r="F33" s="34"/>
      <c r="G33" s="34"/>
      <c r="H33" s="36" t="str">
        <f t="shared" si="0"/>
        <v/>
      </c>
      <c r="I33" s="36" t="str">
        <f t="shared" si="1"/>
        <v/>
      </c>
    </row>
    <row r="34" spans="1:9" x14ac:dyDescent="0.35">
      <c r="A34" s="34"/>
      <c r="B34" s="40" t="str">
        <f>IF($A34="","",Settings!$B$4+7*($A34-1))</f>
        <v/>
      </c>
      <c r="C34" s="38"/>
      <c r="D34" s="38"/>
      <c r="E34" s="34"/>
      <c r="F34" s="34"/>
      <c r="G34" s="34"/>
      <c r="H34" s="36" t="str">
        <f t="shared" si="0"/>
        <v/>
      </c>
      <c r="I34" s="36" t="str">
        <f t="shared" si="1"/>
        <v/>
      </c>
    </row>
    <row r="35" spans="1:9" x14ac:dyDescent="0.35">
      <c r="A35" s="34"/>
      <c r="B35" s="40" t="str">
        <f>IF($A35="","",Settings!$B$4+7*($A35-1))</f>
        <v/>
      </c>
      <c r="C35" s="38"/>
      <c r="D35" s="38"/>
      <c r="E35" s="34"/>
      <c r="F35" s="34"/>
      <c r="G35" s="34"/>
      <c r="H35" s="36" t="str">
        <f t="shared" si="0"/>
        <v/>
      </c>
      <c r="I35" s="36" t="str">
        <f t="shared" si="1"/>
        <v/>
      </c>
    </row>
    <row r="36" spans="1:9" x14ac:dyDescent="0.35">
      <c r="A36" s="34"/>
      <c r="B36" s="40" t="str">
        <f>IF($A36="","",Settings!$B$4+7*($A36-1))</f>
        <v/>
      </c>
      <c r="C36" s="38"/>
      <c r="D36" s="38"/>
      <c r="E36" s="34"/>
      <c r="F36" s="34"/>
      <c r="G36" s="34"/>
      <c r="H36" s="36" t="str">
        <f t="shared" si="0"/>
        <v/>
      </c>
      <c r="I36" s="36" t="str">
        <f t="shared" si="1"/>
        <v/>
      </c>
    </row>
    <row r="37" spans="1:9" x14ac:dyDescent="0.35">
      <c r="A37" s="34"/>
      <c r="B37" s="40" t="str">
        <f>IF($A37="","",Settings!$B$4+7*($A37-1))</f>
        <v/>
      </c>
      <c r="C37" s="38"/>
      <c r="D37" s="38"/>
      <c r="E37" s="34"/>
      <c r="F37" s="34"/>
      <c r="G37" s="34"/>
      <c r="H37" s="36" t="str">
        <f t="shared" si="0"/>
        <v/>
      </c>
      <c r="I37" s="36" t="str">
        <f t="shared" si="1"/>
        <v/>
      </c>
    </row>
    <row r="38" spans="1:9" x14ac:dyDescent="0.35">
      <c r="A38" s="34"/>
      <c r="B38" s="40" t="str">
        <f>IF($A38="","",Settings!$B$4+7*($A38-1))</f>
        <v/>
      </c>
      <c r="C38" s="38"/>
      <c r="D38" s="38"/>
      <c r="E38" s="34"/>
      <c r="F38" s="34"/>
      <c r="G38" s="34"/>
      <c r="H38" s="36" t="str">
        <f t="shared" ref="H38:H69" si="3">IF(N(E38)&gt;0,F38/E38,"")</f>
        <v/>
      </c>
      <c r="I38" s="36" t="str">
        <f t="shared" ref="I38:I69" si="4">IF(N(F38)&gt;0,G38/F38,"")</f>
        <v/>
      </c>
    </row>
    <row r="39" spans="1:9" x14ac:dyDescent="0.35">
      <c r="A39" s="34"/>
      <c r="B39" s="40" t="str">
        <f>IF($A39="","",Settings!$B$4+7*($A39-1))</f>
        <v/>
      </c>
      <c r="C39" s="38"/>
      <c r="D39" s="38"/>
      <c r="E39" s="34"/>
      <c r="F39" s="34"/>
      <c r="G39" s="34"/>
      <c r="H39" s="36" t="str">
        <f t="shared" si="3"/>
        <v/>
      </c>
      <c r="I39" s="36" t="str">
        <f t="shared" si="4"/>
        <v/>
      </c>
    </row>
    <row r="40" spans="1:9" x14ac:dyDescent="0.35">
      <c r="A40" s="34"/>
      <c r="B40" s="40" t="str">
        <f>IF($A40="","",Settings!$B$4+7*($A40-1))</f>
        <v/>
      </c>
      <c r="C40" s="38"/>
      <c r="D40" s="38"/>
      <c r="E40" s="34"/>
      <c r="F40" s="34"/>
      <c r="G40" s="34"/>
      <c r="H40" s="36" t="str">
        <f t="shared" si="3"/>
        <v/>
      </c>
      <c r="I40" s="36" t="str">
        <f t="shared" si="4"/>
        <v/>
      </c>
    </row>
    <row r="41" spans="1:9" x14ac:dyDescent="0.35">
      <c r="A41" s="34"/>
      <c r="B41" s="40" t="str">
        <f>IF($A41="","",Settings!$B$4+7*($A41-1))</f>
        <v/>
      </c>
      <c r="C41" s="38"/>
      <c r="D41" s="38"/>
      <c r="E41" s="34"/>
      <c r="F41" s="34"/>
      <c r="G41" s="34"/>
      <c r="H41" s="36" t="str">
        <f t="shared" si="3"/>
        <v/>
      </c>
      <c r="I41" s="36" t="str">
        <f t="shared" si="4"/>
        <v/>
      </c>
    </row>
    <row r="42" spans="1:9" x14ac:dyDescent="0.35">
      <c r="A42" s="34"/>
      <c r="B42" s="40" t="str">
        <f>IF($A42="","",Settings!$B$4+7*($A42-1))</f>
        <v/>
      </c>
      <c r="C42" s="38"/>
      <c r="D42" s="38"/>
      <c r="E42" s="34"/>
      <c r="F42" s="34"/>
      <c r="G42" s="34"/>
      <c r="H42" s="36" t="str">
        <f t="shared" si="3"/>
        <v/>
      </c>
      <c r="I42" s="36" t="str">
        <f t="shared" si="4"/>
        <v/>
      </c>
    </row>
    <row r="43" spans="1:9" x14ac:dyDescent="0.35">
      <c r="A43" s="34"/>
      <c r="B43" s="40" t="str">
        <f>IF($A43="","",Settings!$B$4+7*($A43-1))</f>
        <v/>
      </c>
      <c r="C43" s="38"/>
      <c r="D43" s="38"/>
      <c r="E43" s="34"/>
      <c r="F43" s="34"/>
      <c r="G43" s="34"/>
      <c r="H43" s="36" t="str">
        <f t="shared" si="3"/>
        <v/>
      </c>
      <c r="I43" s="36" t="str">
        <f t="shared" si="4"/>
        <v/>
      </c>
    </row>
    <row r="44" spans="1:9" x14ac:dyDescent="0.35">
      <c r="A44" s="34"/>
      <c r="B44" s="40" t="str">
        <f>IF($A44="","",Settings!$B$4+7*($A44-1))</f>
        <v/>
      </c>
      <c r="C44" s="38"/>
      <c r="D44" s="38"/>
      <c r="E44" s="34"/>
      <c r="F44" s="34"/>
      <c r="G44" s="34"/>
      <c r="H44" s="36" t="str">
        <f t="shared" si="3"/>
        <v/>
      </c>
      <c r="I44" s="36" t="str">
        <f t="shared" si="4"/>
        <v/>
      </c>
    </row>
    <row r="45" spans="1:9" x14ac:dyDescent="0.35">
      <c r="A45" s="34"/>
      <c r="B45" s="40" t="str">
        <f>IF($A45="","",Settings!$B$4+7*($A45-1))</f>
        <v/>
      </c>
      <c r="C45" s="38"/>
      <c r="D45" s="38"/>
      <c r="E45" s="34"/>
      <c r="F45" s="34"/>
      <c r="G45" s="34"/>
      <c r="H45" s="36" t="str">
        <f t="shared" si="3"/>
        <v/>
      </c>
      <c r="I45" s="36" t="str">
        <f t="shared" si="4"/>
        <v/>
      </c>
    </row>
    <row r="46" spans="1:9" x14ac:dyDescent="0.35">
      <c r="A46" s="34"/>
      <c r="B46" s="40" t="str">
        <f>IF($A46="","",Settings!$B$4+7*($A46-1))</f>
        <v/>
      </c>
      <c r="C46" s="38"/>
      <c r="D46" s="38"/>
      <c r="E46" s="34"/>
      <c r="F46" s="34"/>
      <c r="G46" s="34"/>
      <c r="H46" s="36" t="str">
        <f t="shared" si="3"/>
        <v/>
      </c>
      <c r="I46" s="36" t="str">
        <f t="shared" si="4"/>
        <v/>
      </c>
    </row>
    <row r="47" spans="1:9" x14ac:dyDescent="0.35">
      <c r="A47" s="34"/>
      <c r="B47" s="40" t="str">
        <f>IF($A47="","",Settings!$B$4+7*($A47-1))</f>
        <v/>
      </c>
      <c r="C47" s="38"/>
      <c r="D47" s="38"/>
      <c r="E47" s="34"/>
      <c r="F47" s="34"/>
      <c r="G47" s="34"/>
      <c r="H47" s="36" t="str">
        <f t="shared" si="3"/>
        <v/>
      </c>
      <c r="I47" s="36" t="str">
        <f t="shared" si="4"/>
        <v/>
      </c>
    </row>
    <row r="48" spans="1:9" x14ac:dyDescent="0.35">
      <c r="A48" s="34"/>
      <c r="B48" s="40" t="str">
        <f>IF($A48="","",Settings!$B$4+7*($A48-1))</f>
        <v/>
      </c>
      <c r="C48" s="38"/>
      <c r="D48" s="38"/>
      <c r="E48" s="34"/>
      <c r="F48" s="34"/>
      <c r="G48" s="34"/>
      <c r="H48" s="36" t="str">
        <f t="shared" si="3"/>
        <v/>
      </c>
      <c r="I48" s="36" t="str">
        <f t="shared" si="4"/>
        <v/>
      </c>
    </row>
    <row r="49" spans="1:9" x14ac:dyDescent="0.35">
      <c r="A49" s="34"/>
      <c r="B49" s="40" t="str">
        <f>IF($A49="","",Settings!$B$4+7*($A49-1))</f>
        <v/>
      </c>
      <c r="C49" s="38"/>
      <c r="D49" s="38"/>
      <c r="E49" s="34"/>
      <c r="F49" s="34"/>
      <c r="G49" s="34"/>
      <c r="H49" s="36" t="str">
        <f t="shared" si="3"/>
        <v/>
      </c>
      <c r="I49" s="36" t="str">
        <f t="shared" si="4"/>
        <v/>
      </c>
    </row>
    <row r="50" spans="1:9" x14ac:dyDescent="0.35">
      <c r="A50" s="34"/>
      <c r="B50" s="40" t="str">
        <f>IF($A50="","",Settings!$B$4+7*($A50-1))</f>
        <v/>
      </c>
      <c r="C50" s="38"/>
      <c r="D50" s="38"/>
      <c r="E50" s="34"/>
      <c r="F50" s="34"/>
      <c r="G50" s="34"/>
      <c r="H50" s="36" t="str">
        <f t="shared" si="3"/>
        <v/>
      </c>
      <c r="I50" s="36" t="str">
        <f t="shared" si="4"/>
        <v/>
      </c>
    </row>
    <row r="51" spans="1:9" x14ac:dyDescent="0.35">
      <c r="A51" s="34"/>
      <c r="B51" s="40" t="str">
        <f>IF($A51="","",Settings!$B$4+7*($A51-1))</f>
        <v/>
      </c>
      <c r="C51" s="38"/>
      <c r="D51" s="38"/>
      <c r="E51" s="34"/>
      <c r="F51" s="34"/>
      <c r="G51" s="34"/>
      <c r="H51" s="36" t="str">
        <f t="shared" si="3"/>
        <v/>
      </c>
      <c r="I51" s="36" t="str">
        <f t="shared" si="4"/>
        <v/>
      </c>
    </row>
    <row r="52" spans="1:9" x14ac:dyDescent="0.35">
      <c r="A52" s="34"/>
      <c r="B52" s="40" t="str">
        <f>IF($A52="","",Settings!$B$4+7*($A52-1))</f>
        <v/>
      </c>
      <c r="C52" s="38"/>
      <c r="D52" s="38"/>
      <c r="E52" s="34"/>
      <c r="F52" s="34"/>
      <c r="G52" s="34"/>
      <c r="H52" s="36" t="str">
        <f t="shared" si="3"/>
        <v/>
      </c>
      <c r="I52" s="36" t="str">
        <f t="shared" si="4"/>
        <v/>
      </c>
    </row>
    <row r="53" spans="1:9" x14ac:dyDescent="0.35">
      <c r="A53" s="34"/>
      <c r="B53" s="40" t="str">
        <f>IF($A53="","",Settings!$B$4+7*($A53-1))</f>
        <v/>
      </c>
      <c r="C53" s="38"/>
      <c r="D53" s="38"/>
      <c r="E53" s="34"/>
      <c r="F53" s="34"/>
      <c r="G53" s="34"/>
      <c r="H53" s="36" t="str">
        <f t="shared" si="3"/>
        <v/>
      </c>
      <c r="I53" s="36" t="str">
        <f t="shared" si="4"/>
        <v/>
      </c>
    </row>
    <row r="54" spans="1:9" x14ac:dyDescent="0.35">
      <c r="A54" s="34"/>
      <c r="B54" s="40" t="str">
        <f>IF($A54="","",Settings!$B$4+7*($A54-1))</f>
        <v/>
      </c>
      <c r="C54" s="38"/>
      <c r="D54" s="38"/>
      <c r="E54" s="34"/>
      <c r="F54" s="34"/>
      <c r="G54" s="34"/>
      <c r="H54" s="36" t="str">
        <f t="shared" si="3"/>
        <v/>
      </c>
      <c r="I54" s="36" t="str">
        <f t="shared" si="4"/>
        <v/>
      </c>
    </row>
    <row r="55" spans="1:9" x14ac:dyDescent="0.35">
      <c r="A55" s="34"/>
      <c r="B55" s="40" t="str">
        <f>IF($A55="","",Settings!$B$4+7*($A55-1))</f>
        <v/>
      </c>
      <c r="C55" s="38"/>
      <c r="D55" s="38"/>
      <c r="E55" s="34"/>
      <c r="F55" s="34"/>
      <c r="G55" s="34"/>
      <c r="H55" s="36" t="str">
        <f t="shared" si="3"/>
        <v/>
      </c>
      <c r="I55" s="36" t="str">
        <f t="shared" si="4"/>
        <v/>
      </c>
    </row>
    <row r="56" spans="1:9" x14ac:dyDescent="0.35">
      <c r="A56" s="34"/>
      <c r="B56" s="40" t="str">
        <f>IF($A56="","",Settings!$B$4+7*($A56-1))</f>
        <v/>
      </c>
      <c r="C56" s="38"/>
      <c r="D56" s="38"/>
      <c r="E56" s="34"/>
      <c r="F56" s="34"/>
      <c r="G56" s="34"/>
      <c r="H56" s="36" t="str">
        <f t="shared" si="3"/>
        <v/>
      </c>
      <c r="I56" s="36" t="str">
        <f t="shared" si="4"/>
        <v/>
      </c>
    </row>
    <row r="57" spans="1:9" x14ac:dyDescent="0.35">
      <c r="A57" s="34"/>
      <c r="B57" s="40" t="str">
        <f>IF($A57="","",Settings!$B$4+7*($A57-1))</f>
        <v/>
      </c>
      <c r="C57" s="38"/>
      <c r="D57" s="38"/>
      <c r="E57" s="34"/>
      <c r="F57" s="34"/>
      <c r="G57" s="34"/>
      <c r="H57" s="36" t="str">
        <f t="shared" si="3"/>
        <v/>
      </c>
      <c r="I57" s="36" t="str">
        <f t="shared" si="4"/>
        <v/>
      </c>
    </row>
    <row r="58" spans="1:9" x14ac:dyDescent="0.35">
      <c r="A58" s="34"/>
      <c r="B58" s="40" t="str">
        <f>IF($A58="","",Settings!$B$4+7*($A58-1))</f>
        <v/>
      </c>
      <c r="C58" s="38"/>
      <c r="D58" s="38"/>
      <c r="E58" s="34"/>
      <c r="F58" s="34"/>
      <c r="G58" s="34"/>
      <c r="H58" s="36" t="str">
        <f t="shared" si="3"/>
        <v/>
      </c>
      <c r="I58" s="36" t="str">
        <f t="shared" si="4"/>
        <v/>
      </c>
    </row>
    <row r="59" spans="1:9" x14ac:dyDescent="0.35">
      <c r="A59" s="34"/>
      <c r="B59" s="40" t="str">
        <f>IF($A59="","",Settings!$B$4+7*($A59-1))</f>
        <v/>
      </c>
      <c r="C59" s="38"/>
      <c r="D59" s="38"/>
      <c r="E59" s="34"/>
      <c r="F59" s="34"/>
      <c r="G59" s="34"/>
      <c r="H59" s="36" t="str">
        <f t="shared" si="3"/>
        <v/>
      </c>
      <c r="I59" s="36" t="str">
        <f t="shared" si="4"/>
        <v/>
      </c>
    </row>
    <row r="60" spans="1:9" x14ac:dyDescent="0.35">
      <c r="A60" s="34"/>
      <c r="B60" s="40" t="str">
        <f>IF($A60="","",Settings!$B$4+7*($A60-1))</f>
        <v/>
      </c>
      <c r="C60" s="38"/>
      <c r="D60" s="38"/>
      <c r="E60" s="34"/>
      <c r="F60" s="34"/>
      <c r="G60" s="34"/>
      <c r="H60" s="36" t="str">
        <f t="shared" si="3"/>
        <v/>
      </c>
      <c r="I60" s="36" t="str">
        <f t="shared" si="4"/>
        <v/>
      </c>
    </row>
    <row r="61" spans="1:9" x14ac:dyDescent="0.35">
      <c r="A61" s="34"/>
      <c r="B61" s="40" t="str">
        <f>IF($A61="","",Settings!$B$4+7*($A61-1))</f>
        <v/>
      </c>
      <c r="C61" s="38"/>
      <c r="D61" s="38"/>
      <c r="E61" s="34"/>
      <c r="F61" s="34"/>
      <c r="G61" s="34"/>
      <c r="H61" s="36" t="str">
        <f t="shared" si="3"/>
        <v/>
      </c>
      <c r="I61" s="36" t="str">
        <f t="shared" si="4"/>
        <v/>
      </c>
    </row>
    <row r="62" spans="1:9" x14ac:dyDescent="0.35">
      <c r="A62" s="34"/>
      <c r="B62" s="40" t="str">
        <f>IF($A62="","",Settings!$B$4+7*($A62-1))</f>
        <v/>
      </c>
      <c r="C62" s="38"/>
      <c r="D62" s="38"/>
      <c r="E62" s="34"/>
      <c r="F62" s="34"/>
      <c r="G62" s="34"/>
      <c r="H62" s="36" t="str">
        <f t="shared" si="3"/>
        <v/>
      </c>
      <c r="I62" s="36" t="str">
        <f t="shared" si="4"/>
        <v/>
      </c>
    </row>
    <row r="63" spans="1:9" x14ac:dyDescent="0.35">
      <c r="A63" s="34"/>
      <c r="B63" s="40" t="str">
        <f>IF($A63="","",Settings!$B$4+7*($A63-1))</f>
        <v/>
      </c>
      <c r="C63" s="38"/>
      <c r="D63" s="38"/>
      <c r="E63" s="34"/>
      <c r="F63" s="34"/>
      <c r="G63" s="34"/>
      <c r="H63" s="36" t="str">
        <f t="shared" si="3"/>
        <v/>
      </c>
      <c r="I63" s="36" t="str">
        <f t="shared" si="4"/>
        <v/>
      </c>
    </row>
    <row r="64" spans="1:9" x14ac:dyDescent="0.35">
      <c r="A64" s="34"/>
      <c r="B64" s="40" t="str">
        <f>IF($A64="","",Settings!$B$4+7*($A64-1))</f>
        <v/>
      </c>
      <c r="C64" s="38"/>
      <c r="D64" s="38"/>
      <c r="E64" s="34"/>
      <c r="F64" s="34"/>
      <c r="G64" s="34"/>
      <c r="H64" s="36" t="str">
        <f t="shared" si="3"/>
        <v/>
      </c>
      <c r="I64" s="36" t="str">
        <f t="shared" si="4"/>
        <v/>
      </c>
    </row>
    <row r="65" spans="1:9" x14ac:dyDescent="0.35">
      <c r="A65" s="34"/>
      <c r="B65" s="40" t="str">
        <f>IF($A65="","",Settings!$B$4+7*($A65-1))</f>
        <v/>
      </c>
      <c r="C65" s="38"/>
      <c r="D65" s="38"/>
      <c r="E65" s="34"/>
      <c r="F65" s="34"/>
      <c r="G65" s="34"/>
      <c r="H65" s="36" t="str">
        <f t="shared" si="3"/>
        <v/>
      </c>
      <c r="I65" s="36" t="str">
        <f t="shared" si="4"/>
        <v/>
      </c>
    </row>
    <row r="66" spans="1:9" x14ac:dyDescent="0.35">
      <c r="A66" s="34"/>
      <c r="B66" s="40" t="str">
        <f>IF($A66="","",Settings!$B$4+7*($A66-1))</f>
        <v/>
      </c>
      <c r="C66" s="38"/>
      <c r="D66" s="38"/>
      <c r="E66" s="34"/>
      <c r="F66" s="34"/>
      <c r="G66" s="34"/>
      <c r="H66" s="36" t="str">
        <f t="shared" si="3"/>
        <v/>
      </c>
      <c r="I66" s="36" t="str">
        <f t="shared" si="4"/>
        <v/>
      </c>
    </row>
    <row r="67" spans="1:9" x14ac:dyDescent="0.35">
      <c r="A67" s="34"/>
      <c r="B67" s="40" t="str">
        <f>IF($A67="","",Settings!$B$4+7*($A67-1))</f>
        <v/>
      </c>
      <c r="C67" s="38"/>
      <c r="D67" s="38"/>
      <c r="E67" s="34"/>
      <c r="F67" s="34"/>
      <c r="G67" s="34"/>
      <c r="H67" s="36" t="str">
        <f t="shared" si="3"/>
        <v/>
      </c>
      <c r="I67" s="36" t="str">
        <f t="shared" si="4"/>
        <v/>
      </c>
    </row>
    <row r="68" spans="1:9" x14ac:dyDescent="0.35">
      <c r="A68" s="34"/>
      <c r="B68" s="40" t="str">
        <f>IF($A68="","",Settings!$B$4+7*($A68-1))</f>
        <v/>
      </c>
      <c r="C68" s="38"/>
      <c r="D68" s="38"/>
      <c r="E68" s="34"/>
      <c r="F68" s="34"/>
      <c r="G68" s="34"/>
      <c r="H68" s="36" t="str">
        <f t="shared" si="3"/>
        <v/>
      </c>
      <c r="I68" s="36" t="str">
        <f t="shared" si="4"/>
        <v/>
      </c>
    </row>
    <row r="69" spans="1:9" x14ac:dyDescent="0.35">
      <c r="A69" s="34"/>
      <c r="B69" s="40" t="str">
        <f>IF($A69="","",Settings!$B$4+7*($A69-1))</f>
        <v/>
      </c>
      <c r="C69" s="38"/>
      <c r="D69" s="38"/>
      <c r="E69" s="34"/>
      <c r="F69" s="34"/>
      <c r="G69" s="34"/>
      <c r="H69" s="36" t="str">
        <f t="shared" si="3"/>
        <v/>
      </c>
      <c r="I69" s="36" t="str">
        <f t="shared" si="4"/>
        <v/>
      </c>
    </row>
    <row r="70" spans="1:9" x14ac:dyDescent="0.35">
      <c r="A70" s="34"/>
      <c r="B70" s="40" t="str">
        <f>IF($A70="","",Settings!$B$4+7*($A70-1))</f>
        <v/>
      </c>
      <c r="C70" s="38"/>
      <c r="D70" s="38"/>
      <c r="E70" s="34"/>
      <c r="F70" s="34"/>
      <c r="G70" s="34"/>
      <c r="H70" s="36" t="str">
        <f t="shared" ref="H70:H101" si="5">IF(N(E70)&gt;0,F70/E70,"")</f>
        <v/>
      </c>
      <c r="I70" s="36" t="str">
        <f t="shared" ref="I70:I101" si="6">IF(N(F70)&gt;0,G70/F70,"")</f>
        <v/>
      </c>
    </row>
    <row r="71" spans="1:9" x14ac:dyDescent="0.35">
      <c r="A71" s="34"/>
      <c r="B71" s="40" t="str">
        <f>IF($A71="","",Settings!$B$4+7*($A71-1))</f>
        <v/>
      </c>
      <c r="C71" s="38"/>
      <c r="D71" s="38"/>
      <c r="E71" s="34"/>
      <c r="F71" s="34"/>
      <c r="G71" s="34"/>
      <c r="H71" s="36" t="str">
        <f t="shared" si="5"/>
        <v/>
      </c>
      <c r="I71" s="36" t="str">
        <f t="shared" si="6"/>
        <v/>
      </c>
    </row>
    <row r="72" spans="1:9" x14ac:dyDescent="0.35">
      <c r="A72" s="34"/>
      <c r="B72" s="40" t="str">
        <f>IF($A72="","",Settings!$B$4+7*($A72-1))</f>
        <v/>
      </c>
      <c r="C72" s="38"/>
      <c r="D72" s="38"/>
      <c r="E72" s="34"/>
      <c r="F72" s="34"/>
      <c r="G72" s="34"/>
      <c r="H72" s="36" t="str">
        <f t="shared" si="5"/>
        <v/>
      </c>
      <c r="I72" s="36" t="str">
        <f t="shared" si="6"/>
        <v/>
      </c>
    </row>
    <row r="73" spans="1:9" x14ac:dyDescent="0.35">
      <c r="A73" s="34"/>
      <c r="B73" s="40" t="str">
        <f>IF($A73="","",Settings!$B$4+7*($A73-1))</f>
        <v/>
      </c>
      <c r="C73" s="38"/>
      <c r="D73" s="38"/>
      <c r="E73" s="34"/>
      <c r="F73" s="34"/>
      <c r="G73" s="34"/>
      <c r="H73" s="36" t="str">
        <f t="shared" si="5"/>
        <v/>
      </c>
      <c r="I73" s="36" t="str">
        <f t="shared" si="6"/>
        <v/>
      </c>
    </row>
    <row r="74" spans="1:9" x14ac:dyDescent="0.35">
      <c r="A74" s="34"/>
      <c r="B74" s="40" t="str">
        <f>IF($A74="","",Settings!$B$4+7*($A74-1))</f>
        <v/>
      </c>
      <c r="C74" s="38"/>
      <c r="D74" s="38"/>
      <c r="E74" s="34"/>
      <c r="F74" s="34"/>
      <c r="G74" s="34"/>
      <c r="H74" s="36" t="str">
        <f t="shared" si="5"/>
        <v/>
      </c>
      <c r="I74" s="36" t="str">
        <f t="shared" si="6"/>
        <v/>
      </c>
    </row>
    <row r="75" spans="1:9" x14ac:dyDescent="0.35">
      <c r="A75" s="34"/>
      <c r="B75" s="40" t="str">
        <f>IF($A75="","",Settings!$B$4+7*($A75-1))</f>
        <v/>
      </c>
      <c r="C75" s="38"/>
      <c r="D75" s="38"/>
      <c r="E75" s="34"/>
      <c r="F75" s="34"/>
      <c r="G75" s="34"/>
      <c r="H75" s="36" t="str">
        <f t="shared" si="5"/>
        <v/>
      </c>
      <c r="I75" s="36" t="str">
        <f t="shared" si="6"/>
        <v/>
      </c>
    </row>
    <row r="76" spans="1:9" x14ac:dyDescent="0.35">
      <c r="A76" s="34"/>
      <c r="B76" s="40" t="str">
        <f>IF($A76="","",Settings!$B$4+7*($A76-1))</f>
        <v/>
      </c>
      <c r="C76" s="38"/>
      <c r="D76" s="38"/>
      <c r="E76" s="34"/>
      <c r="F76" s="34"/>
      <c r="G76" s="34"/>
      <c r="H76" s="36" t="str">
        <f t="shared" si="5"/>
        <v/>
      </c>
      <c r="I76" s="36" t="str">
        <f t="shared" si="6"/>
        <v/>
      </c>
    </row>
    <row r="77" spans="1:9" x14ac:dyDescent="0.35">
      <c r="A77" s="34"/>
      <c r="B77" s="40" t="str">
        <f>IF($A77="","",Settings!$B$4+7*($A77-1))</f>
        <v/>
      </c>
      <c r="C77" s="38"/>
      <c r="D77" s="38"/>
      <c r="E77" s="34"/>
      <c r="F77" s="34"/>
      <c r="G77" s="34"/>
      <c r="H77" s="36" t="str">
        <f t="shared" si="5"/>
        <v/>
      </c>
      <c r="I77" s="36" t="str">
        <f t="shared" si="6"/>
        <v/>
      </c>
    </row>
    <row r="78" spans="1:9" x14ac:dyDescent="0.35">
      <c r="A78" s="34"/>
      <c r="B78" s="40" t="str">
        <f>IF($A78="","",Settings!$B$4+7*($A78-1))</f>
        <v/>
      </c>
      <c r="C78" s="38"/>
      <c r="D78" s="38"/>
      <c r="E78" s="34"/>
      <c r="F78" s="34"/>
      <c r="G78" s="34"/>
      <c r="H78" s="36" t="str">
        <f t="shared" si="5"/>
        <v/>
      </c>
      <c r="I78" s="36" t="str">
        <f t="shared" si="6"/>
        <v/>
      </c>
    </row>
    <row r="79" spans="1:9" x14ac:dyDescent="0.35">
      <c r="A79" s="34"/>
      <c r="B79" s="40" t="str">
        <f>IF($A79="","",Settings!$B$4+7*($A79-1))</f>
        <v/>
      </c>
      <c r="C79" s="38"/>
      <c r="D79" s="38"/>
      <c r="E79" s="34"/>
      <c r="F79" s="34"/>
      <c r="G79" s="34"/>
      <c r="H79" s="36" t="str">
        <f t="shared" si="5"/>
        <v/>
      </c>
      <c r="I79" s="36" t="str">
        <f t="shared" si="6"/>
        <v/>
      </c>
    </row>
    <row r="80" spans="1:9" x14ac:dyDescent="0.35">
      <c r="A80" s="34"/>
      <c r="B80" s="40" t="str">
        <f>IF($A80="","",Settings!$B$4+7*($A80-1))</f>
        <v/>
      </c>
      <c r="C80" s="38"/>
      <c r="D80" s="38"/>
      <c r="E80" s="34"/>
      <c r="F80" s="34"/>
      <c r="G80" s="34"/>
      <c r="H80" s="36" t="str">
        <f t="shared" si="5"/>
        <v/>
      </c>
      <c r="I80" s="36" t="str">
        <f t="shared" si="6"/>
        <v/>
      </c>
    </row>
    <row r="81" spans="1:9" x14ac:dyDescent="0.35">
      <c r="A81" s="34"/>
      <c r="B81" s="40" t="str">
        <f>IF($A81="","",Settings!$B$4+7*($A81-1))</f>
        <v/>
      </c>
      <c r="C81" s="38"/>
      <c r="D81" s="38"/>
      <c r="E81" s="34"/>
      <c r="F81" s="34"/>
      <c r="G81" s="34"/>
      <c r="H81" s="36" t="str">
        <f t="shared" si="5"/>
        <v/>
      </c>
      <c r="I81" s="36" t="str">
        <f t="shared" si="6"/>
        <v/>
      </c>
    </row>
    <row r="82" spans="1:9" x14ac:dyDescent="0.35">
      <c r="A82" s="34"/>
      <c r="B82" s="40" t="str">
        <f>IF($A82="","",Settings!$B$4+7*($A82-1))</f>
        <v/>
      </c>
      <c r="C82" s="38"/>
      <c r="D82" s="38"/>
      <c r="E82" s="34"/>
      <c r="F82" s="34"/>
      <c r="G82" s="34"/>
      <c r="H82" s="36" t="str">
        <f t="shared" si="5"/>
        <v/>
      </c>
      <c r="I82" s="36" t="str">
        <f t="shared" si="6"/>
        <v/>
      </c>
    </row>
    <row r="83" spans="1:9" x14ac:dyDescent="0.35">
      <c r="A83" s="34"/>
      <c r="B83" s="40" t="str">
        <f>IF($A83="","",Settings!$B$4+7*($A83-1))</f>
        <v/>
      </c>
      <c r="C83" s="38"/>
      <c r="D83" s="38"/>
      <c r="E83" s="34"/>
      <c r="F83" s="34"/>
      <c r="G83" s="34"/>
      <c r="H83" s="36" t="str">
        <f t="shared" si="5"/>
        <v/>
      </c>
      <c r="I83" s="36" t="str">
        <f t="shared" si="6"/>
        <v/>
      </c>
    </row>
    <row r="84" spans="1:9" x14ac:dyDescent="0.35">
      <c r="A84" s="34"/>
      <c r="B84" s="40" t="str">
        <f>IF($A84="","",Settings!$B$4+7*($A84-1))</f>
        <v/>
      </c>
      <c r="C84" s="38"/>
      <c r="D84" s="38"/>
      <c r="E84" s="34"/>
      <c r="F84" s="34"/>
      <c r="G84" s="34"/>
      <c r="H84" s="36" t="str">
        <f t="shared" si="5"/>
        <v/>
      </c>
      <c r="I84" s="36" t="str">
        <f t="shared" si="6"/>
        <v/>
      </c>
    </row>
    <row r="85" spans="1:9" x14ac:dyDescent="0.35">
      <c r="A85" s="34"/>
      <c r="B85" s="40" t="str">
        <f>IF($A85="","",Settings!$B$4+7*($A85-1))</f>
        <v/>
      </c>
      <c r="C85" s="38"/>
      <c r="D85" s="38"/>
      <c r="E85" s="34"/>
      <c r="F85" s="34"/>
      <c r="G85" s="34"/>
      <c r="H85" s="36" t="str">
        <f t="shared" si="5"/>
        <v/>
      </c>
      <c r="I85" s="36" t="str">
        <f t="shared" si="6"/>
        <v/>
      </c>
    </row>
    <row r="86" spans="1:9" x14ac:dyDescent="0.35">
      <c r="A86" s="34"/>
      <c r="B86" s="40" t="str">
        <f>IF($A86="","",Settings!$B$4+7*($A86-1))</f>
        <v/>
      </c>
      <c r="C86" s="38"/>
      <c r="D86" s="38"/>
      <c r="E86" s="34"/>
      <c r="F86" s="34"/>
      <c r="G86" s="34"/>
      <c r="H86" s="36" t="str">
        <f t="shared" si="5"/>
        <v/>
      </c>
      <c r="I86" s="36" t="str">
        <f t="shared" si="6"/>
        <v/>
      </c>
    </row>
    <row r="87" spans="1:9" x14ac:dyDescent="0.35">
      <c r="A87" s="34"/>
      <c r="B87" s="40" t="str">
        <f>IF($A87="","",Settings!$B$4+7*($A87-1))</f>
        <v/>
      </c>
      <c r="C87" s="38"/>
      <c r="D87" s="38"/>
      <c r="E87" s="34"/>
      <c r="F87" s="34"/>
      <c r="G87" s="34"/>
      <c r="H87" s="36" t="str">
        <f t="shared" si="5"/>
        <v/>
      </c>
      <c r="I87" s="36" t="str">
        <f t="shared" si="6"/>
        <v/>
      </c>
    </row>
    <row r="88" spans="1:9" x14ac:dyDescent="0.35">
      <c r="A88" s="34"/>
      <c r="B88" s="40" t="str">
        <f>IF($A88="","",Settings!$B$4+7*($A88-1))</f>
        <v/>
      </c>
      <c r="C88" s="38"/>
      <c r="D88" s="38"/>
      <c r="E88" s="34"/>
      <c r="F88" s="34"/>
      <c r="G88" s="34"/>
      <c r="H88" s="36" t="str">
        <f t="shared" si="5"/>
        <v/>
      </c>
      <c r="I88" s="36" t="str">
        <f t="shared" si="6"/>
        <v/>
      </c>
    </row>
    <row r="89" spans="1:9" x14ac:dyDescent="0.35">
      <c r="A89" s="34"/>
      <c r="B89" s="40" t="str">
        <f>IF($A89="","",Settings!$B$4+7*($A89-1))</f>
        <v/>
      </c>
      <c r="C89" s="38"/>
      <c r="D89" s="38"/>
      <c r="E89" s="34"/>
      <c r="F89" s="34"/>
      <c r="G89" s="34"/>
      <c r="H89" s="36" t="str">
        <f t="shared" si="5"/>
        <v/>
      </c>
      <c r="I89" s="36" t="str">
        <f t="shared" si="6"/>
        <v/>
      </c>
    </row>
    <row r="90" spans="1:9" x14ac:dyDescent="0.35">
      <c r="A90" s="34"/>
      <c r="B90" s="40" t="str">
        <f>IF($A90="","",Settings!$B$4+7*($A90-1))</f>
        <v/>
      </c>
      <c r="C90" s="38"/>
      <c r="D90" s="38"/>
      <c r="E90" s="34"/>
      <c r="F90" s="34"/>
      <c r="G90" s="34"/>
      <c r="H90" s="36" t="str">
        <f t="shared" si="5"/>
        <v/>
      </c>
      <c r="I90" s="36" t="str">
        <f t="shared" si="6"/>
        <v/>
      </c>
    </row>
    <row r="91" spans="1:9" x14ac:dyDescent="0.35">
      <c r="A91" s="34"/>
      <c r="B91" s="40" t="str">
        <f>IF($A91="","",Settings!$B$4+7*($A91-1))</f>
        <v/>
      </c>
      <c r="C91" s="38"/>
      <c r="D91" s="38"/>
      <c r="E91" s="34"/>
      <c r="F91" s="34"/>
      <c r="G91" s="34"/>
      <c r="H91" s="36" t="str">
        <f t="shared" si="5"/>
        <v/>
      </c>
      <c r="I91" s="36" t="str">
        <f t="shared" si="6"/>
        <v/>
      </c>
    </row>
    <row r="92" spans="1:9" x14ac:dyDescent="0.35">
      <c r="A92" s="34"/>
      <c r="B92" s="40" t="str">
        <f>IF($A92="","",Settings!$B$4+7*($A92-1))</f>
        <v/>
      </c>
      <c r="C92" s="38"/>
      <c r="D92" s="38"/>
      <c r="E92" s="34"/>
      <c r="F92" s="34"/>
      <c r="G92" s="34"/>
      <c r="H92" s="36" t="str">
        <f t="shared" si="5"/>
        <v/>
      </c>
      <c r="I92" s="36" t="str">
        <f t="shared" si="6"/>
        <v/>
      </c>
    </row>
    <row r="93" spans="1:9" x14ac:dyDescent="0.35">
      <c r="A93" s="34"/>
      <c r="B93" s="40" t="str">
        <f>IF($A93="","",Settings!$B$4+7*($A93-1))</f>
        <v/>
      </c>
      <c r="C93" s="38"/>
      <c r="D93" s="38"/>
      <c r="E93" s="34"/>
      <c r="F93" s="34"/>
      <c r="G93" s="34"/>
      <c r="H93" s="36" t="str">
        <f t="shared" si="5"/>
        <v/>
      </c>
      <c r="I93" s="36" t="str">
        <f t="shared" si="6"/>
        <v/>
      </c>
    </row>
    <row r="94" spans="1:9" x14ac:dyDescent="0.35">
      <c r="A94" s="34"/>
      <c r="B94" s="40" t="str">
        <f>IF($A94="","",Settings!$B$4+7*($A94-1))</f>
        <v/>
      </c>
      <c r="C94" s="38"/>
      <c r="D94" s="38"/>
      <c r="E94" s="34"/>
      <c r="F94" s="34"/>
      <c r="G94" s="34"/>
      <c r="H94" s="36" t="str">
        <f t="shared" si="5"/>
        <v/>
      </c>
      <c r="I94" s="36" t="str">
        <f t="shared" si="6"/>
        <v/>
      </c>
    </row>
    <row r="95" spans="1:9" x14ac:dyDescent="0.35">
      <c r="A95" s="34"/>
      <c r="B95" s="40" t="str">
        <f>IF($A95="","",Settings!$B$4+7*($A95-1))</f>
        <v/>
      </c>
      <c r="C95" s="38"/>
      <c r="D95" s="38"/>
      <c r="E95" s="34"/>
      <c r="F95" s="34"/>
      <c r="G95" s="34"/>
      <c r="H95" s="36" t="str">
        <f t="shared" si="5"/>
        <v/>
      </c>
      <c r="I95" s="36" t="str">
        <f t="shared" si="6"/>
        <v/>
      </c>
    </row>
    <row r="96" spans="1:9" x14ac:dyDescent="0.35">
      <c r="A96" s="34"/>
      <c r="B96" s="40" t="str">
        <f>IF($A96="","",Settings!$B$4+7*($A96-1))</f>
        <v/>
      </c>
      <c r="C96" s="38"/>
      <c r="D96" s="38"/>
      <c r="E96" s="34"/>
      <c r="F96" s="34"/>
      <c r="G96" s="34"/>
      <c r="H96" s="36" t="str">
        <f t="shared" si="5"/>
        <v/>
      </c>
      <c r="I96" s="36" t="str">
        <f t="shared" si="6"/>
        <v/>
      </c>
    </row>
    <row r="97" spans="1:9" x14ac:dyDescent="0.35">
      <c r="A97" s="34"/>
      <c r="B97" s="40" t="str">
        <f>IF($A97="","",Settings!$B$4+7*($A97-1))</f>
        <v/>
      </c>
      <c r="C97" s="38"/>
      <c r="D97" s="38"/>
      <c r="E97" s="34"/>
      <c r="F97" s="34"/>
      <c r="G97" s="34"/>
      <c r="H97" s="36" t="str">
        <f t="shared" si="5"/>
        <v/>
      </c>
      <c r="I97" s="36" t="str">
        <f t="shared" si="6"/>
        <v/>
      </c>
    </row>
    <row r="98" spans="1:9" x14ac:dyDescent="0.35">
      <c r="A98" s="34"/>
      <c r="B98" s="40" t="str">
        <f>IF($A98="","",Settings!$B$4+7*($A98-1))</f>
        <v/>
      </c>
      <c r="C98" s="38"/>
      <c r="D98" s="38"/>
      <c r="E98" s="34"/>
      <c r="F98" s="34"/>
      <c r="G98" s="34"/>
      <c r="H98" s="36" t="str">
        <f t="shared" si="5"/>
        <v/>
      </c>
      <c r="I98" s="36" t="str">
        <f t="shared" si="6"/>
        <v/>
      </c>
    </row>
    <row r="99" spans="1:9" x14ac:dyDescent="0.35">
      <c r="A99" s="34"/>
      <c r="B99" s="40" t="str">
        <f>IF($A99="","",Settings!$B$4+7*($A99-1))</f>
        <v/>
      </c>
      <c r="C99" s="38"/>
      <c r="D99" s="38"/>
      <c r="E99" s="34"/>
      <c r="F99" s="34"/>
      <c r="G99" s="34"/>
      <c r="H99" s="36" t="str">
        <f t="shared" si="5"/>
        <v/>
      </c>
      <c r="I99" s="36" t="str">
        <f t="shared" si="6"/>
        <v/>
      </c>
    </row>
    <row r="100" spans="1:9" x14ac:dyDescent="0.35">
      <c r="A100" s="34"/>
      <c r="B100" s="40" t="str">
        <f>IF($A100="","",Settings!$B$4+7*($A100-1))</f>
        <v/>
      </c>
      <c r="C100" s="38"/>
      <c r="D100" s="38"/>
      <c r="E100" s="34"/>
      <c r="F100" s="34"/>
      <c r="G100" s="34"/>
      <c r="H100" s="36" t="str">
        <f t="shared" si="5"/>
        <v/>
      </c>
      <c r="I100" s="36" t="str">
        <f t="shared" si="6"/>
        <v/>
      </c>
    </row>
    <row r="101" spans="1:9" x14ac:dyDescent="0.35">
      <c r="A101" s="34"/>
      <c r="B101" s="40" t="str">
        <f>IF($A101="","",Settings!$B$4+7*($A101-1))</f>
        <v/>
      </c>
      <c r="C101" s="38"/>
      <c r="D101" s="38"/>
      <c r="E101" s="34"/>
      <c r="F101" s="34"/>
      <c r="G101" s="34"/>
      <c r="H101" s="36" t="str">
        <f t="shared" si="5"/>
        <v/>
      </c>
      <c r="I101" s="36" t="str">
        <f t="shared" si="6"/>
        <v/>
      </c>
    </row>
    <row r="102" spans="1:9" x14ac:dyDescent="0.35">
      <c r="A102" s="34"/>
      <c r="B102" s="40" t="str">
        <f>IF($A102="","",Settings!$B$4+7*($A102-1))</f>
        <v/>
      </c>
      <c r="C102" s="38"/>
      <c r="D102" s="38"/>
      <c r="E102" s="34"/>
      <c r="F102" s="34"/>
      <c r="G102" s="34"/>
      <c r="H102" s="36" t="str">
        <f t="shared" ref="H102:H133" si="7">IF(N(E102)&gt;0,F102/E102,"")</f>
        <v/>
      </c>
      <c r="I102" s="36" t="str">
        <f t="shared" ref="I102:I133" si="8">IF(N(F102)&gt;0,G102/F102,"")</f>
        <v/>
      </c>
    </row>
    <row r="103" spans="1:9" x14ac:dyDescent="0.35">
      <c r="A103" s="34"/>
      <c r="B103" s="40" t="str">
        <f>IF($A103="","",Settings!$B$4+7*($A103-1))</f>
        <v/>
      </c>
      <c r="C103" s="38"/>
      <c r="D103" s="38"/>
      <c r="E103" s="34"/>
      <c r="F103" s="34"/>
      <c r="G103" s="34"/>
      <c r="H103" s="36" t="str">
        <f t="shared" si="7"/>
        <v/>
      </c>
      <c r="I103" s="36" t="str">
        <f t="shared" si="8"/>
        <v/>
      </c>
    </row>
    <row r="104" spans="1:9" x14ac:dyDescent="0.35">
      <c r="A104" s="34"/>
      <c r="B104" s="40" t="str">
        <f>IF($A104="","",Settings!$B$4+7*($A104-1))</f>
        <v/>
      </c>
      <c r="C104" s="38"/>
      <c r="D104" s="38"/>
      <c r="E104" s="34"/>
      <c r="F104" s="34"/>
      <c r="G104" s="34"/>
      <c r="H104" s="36" t="str">
        <f t="shared" si="7"/>
        <v/>
      </c>
      <c r="I104" s="36" t="str">
        <f t="shared" si="8"/>
        <v/>
      </c>
    </row>
    <row r="105" spans="1:9" x14ac:dyDescent="0.35">
      <c r="A105" s="34"/>
      <c r="B105" s="40" t="str">
        <f>IF($A105="","",Settings!$B$4+7*($A105-1))</f>
        <v/>
      </c>
      <c r="C105" s="38"/>
      <c r="D105" s="38"/>
      <c r="E105" s="34"/>
      <c r="F105" s="34"/>
      <c r="G105" s="34"/>
      <c r="H105" s="36" t="str">
        <f t="shared" si="7"/>
        <v/>
      </c>
      <c r="I105" s="36" t="str">
        <f t="shared" si="8"/>
        <v/>
      </c>
    </row>
    <row r="106" spans="1:9" x14ac:dyDescent="0.35">
      <c r="A106" s="34"/>
      <c r="B106" s="40" t="str">
        <f>IF($A106="","",Settings!$B$4+7*($A106-1))</f>
        <v/>
      </c>
      <c r="C106" s="38"/>
      <c r="D106" s="38"/>
      <c r="E106" s="34"/>
      <c r="F106" s="34"/>
      <c r="G106" s="34"/>
      <c r="H106" s="36" t="str">
        <f t="shared" si="7"/>
        <v/>
      </c>
      <c r="I106" s="36" t="str">
        <f t="shared" si="8"/>
        <v/>
      </c>
    </row>
    <row r="107" spans="1:9" x14ac:dyDescent="0.35">
      <c r="A107" s="34"/>
      <c r="B107" s="40" t="str">
        <f>IF($A107="","",Settings!$B$4+7*($A107-1))</f>
        <v/>
      </c>
      <c r="C107" s="38"/>
      <c r="D107" s="38"/>
      <c r="E107" s="34"/>
      <c r="F107" s="34"/>
      <c r="G107" s="34"/>
      <c r="H107" s="36" t="str">
        <f t="shared" si="7"/>
        <v/>
      </c>
      <c r="I107" s="36" t="str">
        <f t="shared" si="8"/>
        <v/>
      </c>
    </row>
    <row r="108" spans="1:9" x14ac:dyDescent="0.35">
      <c r="A108" s="34"/>
      <c r="B108" s="40" t="str">
        <f>IF($A108="","",Settings!$B$4+7*($A108-1))</f>
        <v/>
      </c>
      <c r="C108" s="38"/>
      <c r="D108" s="38"/>
      <c r="E108" s="34"/>
      <c r="F108" s="34"/>
      <c r="G108" s="34"/>
      <c r="H108" s="36" t="str">
        <f t="shared" si="7"/>
        <v/>
      </c>
      <c r="I108" s="36" t="str">
        <f t="shared" si="8"/>
        <v/>
      </c>
    </row>
    <row r="109" spans="1:9" x14ac:dyDescent="0.35">
      <c r="A109" s="34"/>
      <c r="B109" s="40" t="str">
        <f>IF($A109="","",Settings!$B$4+7*($A109-1))</f>
        <v/>
      </c>
      <c r="C109" s="38"/>
      <c r="D109" s="38"/>
      <c r="E109" s="34"/>
      <c r="F109" s="34"/>
      <c r="G109" s="34"/>
      <c r="H109" s="36" t="str">
        <f t="shared" si="7"/>
        <v/>
      </c>
      <c r="I109" s="36" t="str">
        <f t="shared" si="8"/>
        <v/>
      </c>
    </row>
    <row r="110" spans="1:9" x14ac:dyDescent="0.35">
      <c r="A110" s="34"/>
      <c r="B110" s="40" t="str">
        <f>IF($A110="","",Settings!$B$4+7*($A110-1))</f>
        <v/>
      </c>
      <c r="C110" s="38"/>
      <c r="D110" s="38"/>
      <c r="E110" s="34"/>
      <c r="F110" s="34"/>
      <c r="G110" s="34"/>
      <c r="H110" s="36" t="str">
        <f t="shared" si="7"/>
        <v/>
      </c>
      <c r="I110" s="36" t="str">
        <f t="shared" si="8"/>
        <v/>
      </c>
    </row>
    <row r="111" spans="1:9" x14ac:dyDescent="0.35">
      <c r="A111" s="34"/>
      <c r="B111" s="40" t="str">
        <f>IF($A111="","",Settings!$B$4+7*($A111-1))</f>
        <v/>
      </c>
      <c r="C111" s="38"/>
      <c r="D111" s="38"/>
      <c r="E111" s="34"/>
      <c r="F111" s="34"/>
      <c r="G111" s="34"/>
      <c r="H111" s="36" t="str">
        <f t="shared" si="7"/>
        <v/>
      </c>
      <c r="I111" s="36" t="str">
        <f t="shared" si="8"/>
        <v/>
      </c>
    </row>
    <row r="112" spans="1:9" x14ac:dyDescent="0.35">
      <c r="A112" s="34"/>
      <c r="B112" s="40" t="str">
        <f>IF($A112="","",Settings!$B$4+7*($A112-1))</f>
        <v/>
      </c>
      <c r="C112" s="38"/>
      <c r="D112" s="38"/>
      <c r="E112" s="34"/>
      <c r="F112" s="34"/>
      <c r="G112" s="34"/>
      <c r="H112" s="36" t="str">
        <f t="shared" si="7"/>
        <v/>
      </c>
      <c r="I112" s="36" t="str">
        <f t="shared" si="8"/>
        <v/>
      </c>
    </row>
    <row r="113" spans="1:9" x14ac:dyDescent="0.35">
      <c r="A113" s="34"/>
      <c r="B113" s="40" t="str">
        <f>IF($A113="","",Settings!$B$4+7*($A113-1))</f>
        <v/>
      </c>
      <c r="C113" s="38"/>
      <c r="D113" s="38"/>
      <c r="E113" s="34"/>
      <c r="F113" s="34"/>
      <c r="G113" s="34"/>
      <c r="H113" s="36" t="str">
        <f t="shared" si="7"/>
        <v/>
      </c>
      <c r="I113" s="36" t="str">
        <f t="shared" si="8"/>
        <v/>
      </c>
    </row>
    <row r="114" spans="1:9" x14ac:dyDescent="0.35">
      <c r="A114" s="34"/>
      <c r="B114" s="40" t="str">
        <f>IF($A114="","",Settings!$B$4+7*($A114-1))</f>
        <v/>
      </c>
      <c r="C114" s="38"/>
      <c r="D114" s="38"/>
      <c r="E114" s="34"/>
      <c r="F114" s="34"/>
      <c r="G114" s="34"/>
      <c r="H114" s="36" t="str">
        <f t="shared" si="7"/>
        <v/>
      </c>
      <c r="I114" s="36" t="str">
        <f t="shared" si="8"/>
        <v/>
      </c>
    </row>
    <row r="115" spans="1:9" x14ac:dyDescent="0.35">
      <c r="A115" s="34"/>
      <c r="B115" s="40" t="str">
        <f>IF($A115="","",Settings!$B$4+7*($A115-1))</f>
        <v/>
      </c>
      <c r="C115" s="38"/>
      <c r="D115" s="38"/>
      <c r="E115" s="34"/>
      <c r="F115" s="34"/>
      <c r="G115" s="34"/>
      <c r="H115" s="36" t="str">
        <f t="shared" si="7"/>
        <v/>
      </c>
      <c r="I115" s="36" t="str">
        <f t="shared" si="8"/>
        <v/>
      </c>
    </row>
    <row r="116" spans="1:9" x14ac:dyDescent="0.35">
      <c r="A116" s="34"/>
      <c r="B116" s="40" t="str">
        <f>IF($A116="","",Settings!$B$4+7*($A116-1))</f>
        <v/>
      </c>
      <c r="C116" s="38"/>
      <c r="D116" s="38"/>
      <c r="E116" s="34"/>
      <c r="F116" s="34"/>
      <c r="G116" s="34"/>
      <c r="H116" s="36" t="str">
        <f t="shared" si="7"/>
        <v/>
      </c>
      <c r="I116" s="36" t="str">
        <f t="shared" si="8"/>
        <v/>
      </c>
    </row>
    <row r="117" spans="1:9" x14ac:dyDescent="0.35">
      <c r="A117" s="34"/>
      <c r="B117" s="40" t="str">
        <f>IF($A117="","",Settings!$B$4+7*($A117-1))</f>
        <v/>
      </c>
      <c r="C117" s="38"/>
      <c r="D117" s="38"/>
      <c r="E117" s="34"/>
      <c r="F117" s="34"/>
      <c r="G117" s="34"/>
      <c r="H117" s="36" t="str">
        <f t="shared" si="7"/>
        <v/>
      </c>
      <c r="I117" s="36" t="str">
        <f t="shared" si="8"/>
        <v/>
      </c>
    </row>
    <row r="118" spans="1:9" x14ac:dyDescent="0.35">
      <c r="A118" s="34"/>
      <c r="B118" s="40" t="str">
        <f>IF($A118="","",Settings!$B$4+7*($A118-1))</f>
        <v/>
      </c>
      <c r="C118" s="38"/>
      <c r="D118" s="38"/>
      <c r="E118" s="34"/>
      <c r="F118" s="34"/>
      <c r="G118" s="34"/>
      <c r="H118" s="36" t="str">
        <f t="shared" si="7"/>
        <v/>
      </c>
      <c r="I118" s="36" t="str">
        <f t="shared" si="8"/>
        <v/>
      </c>
    </row>
    <row r="119" spans="1:9" x14ac:dyDescent="0.35">
      <c r="A119" s="34"/>
      <c r="B119" s="40" t="str">
        <f>IF($A119="","",Settings!$B$4+7*($A119-1))</f>
        <v/>
      </c>
      <c r="C119" s="38"/>
      <c r="D119" s="38"/>
      <c r="E119" s="34"/>
      <c r="F119" s="34"/>
      <c r="G119" s="34"/>
      <c r="H119" s="36" t="str">
        <f t="shared" si="7"/>
        <v/>
      </c>
      <c r="I119" s="36" t="str">
        <f t="shared" si="8"/>
        <v/>
      </c>
    </row>
    <row r="120" spans="1:9" x14ac:dyDescent="0.35">
      <c r="A120" s="34"/>
      <c r="B120" s="40" t="str">
        <f>IF($A120="","",Settings!$B$4+7*($A120-1))</f>
        <v/>
      </c>
      <c r="C120" s="38"/>
      <c r="D120" s="38"/>
      <c r="E120" s="34"/>
      <c r="F120" s="34"/>
      <c r="G120" s="34"/>
      <c r="H120" s="36" t="str">
        <f t="shared" si="7"/>
        <v/>
      </c>
      <c r="I120" s="36" t="str">
        <f t="shared" si="8"/>
        <v/>
      </c>
    </row>
    <row r="121" spans="1:9" x14ac:dyDescent="0.35">
      <c r="A121" s="34"/>
      <c r="B121" s="40" t="str">
        <f>IF($A121="","",Settings!$B$4+7*($A121-1))</f>
        <v/>
      </c>
      <c r="C121" s="38"/>
      <c r="D121" s="38"/>
      <c r="E121" s="34"/>
      <c r="F121" s="34"/>
      <c r="G121" s="34"/>
      <c r="H121" s="36" t="str">
        <f t="shared" si="7"/>
        <v/>
      </c>
      <c r="I121" s="36" t="str">
        <f t="shared" si="8"/>
        <v/>
      </c>
    </row>
    <row r="122" spans="1:9" x14ac:dyDescent="0.35">
      <c r="A122" s="34"/>
      <c r="B122" s="40" t="str">
        <f>IF($A122="","",Settings!$B$4+7*($A122-1))</f>
        <v/>
      </c>
      <c r="C122" s="38"/>
      <c r="D122" s="38"/>
      <c r="E122" s="34"/>
      <c r="F122" s="34"/>
      <c r="G122" s="34"/>
      <c r="H122" s="36" t="str">
        <f t="shared" si="7"/>
        <v/>
      </c>
      <c r="I122" s="36" t="str">
        <f t="shared" si="8"/>
        <v/>
      </c>
    </row>
    <row r="123" spans="1:9" x14ac:dyDescent="0.35">
      <c r="A123" s="34"/>
      <c r="B123" s="40" t="str">
        <f>IF($A123="","",Settings!$B$4+7*($A123-1))</f>
        <v/>
      </c>
      <c r="C123" s="38"/>
      <c r="D123" s="38"/>
      <c r="E123" s="34"/>
      <c r="F123" s="34"/>
      <c r="G123" s="34"/>
      <c r="H123" s="36" t="str">
        <f t="shared" si="7"/>
        <v/>
      </c>
      <c r="I123" s="36" t="str">
        <f t="shared" si="8"/>
        <v/>
      </c>
    </row>
    <row r="124" spans="1:9" x14ac:dyDescent="0.35">
      <c r="A124" s="34"/>
      <c r="B124" s="40" t="str">
        <f>IF($A124="","",Settings!$B$4+7*($A124-1))</f>
        <v/>
      </c>
      <c r="C124" s="38"/>
      <c r="D124" s="38"/>
      <c r="E124" s="34"/>
      <c r="F124" s="34"/>
      <c r="G124" s="34"/>
      <c r="H124" s="36" t="str">
        <f t="shared" si="7"/>
        <v/>
      </c>
      <c r="I124" s="36" t="str">
        <f t="shared" si="8"/>
        <v/>
      </c>
    </row>
    <row r="125" spans="1:9" x14ac:dyDescent="0.35">
      <c r="A125" s="34"/>
      <c r="B125" s="40" t="str">
        <f>IF($A125="","",Settings!$B$4+7*($A125-1))</f>
        <v/>
      </c>
      <c r="C125" s="38"/>
      <c r="D125" s="38"/>
      <c r="E125" s="34"/>
      <c r="F125" s="34"/>
      <c r="G125" s="34"/>
      <c r="H125" s="36" t="str">
        <f t="shared" si="7"/>
        <v/>
      </c>
      <c r="I125" s="36" t="str">
        <f t="shared" si="8"/>
        <v/>
      </c>
    </row>
    <row r="126" spans="1:9" x14ac:dyDescent="0.35">
      <c r="A126" s="34"/>
      <c r="B126" s="40" t="str">
        <f>IF($A126="","",Settings!$B$4+7*($A126-1))</f>
        <v/>
      </c>
      <c r="C126" s="38"/>
      <c r="D126" s="38"/>
      <c r="E126" s="34"/>
      <c r="F126" s="34"/>
      <c r="G126" s="34"/>
      <c r="H126" s="36" t="str">
        <f t="shared" si="7"/>
        <v/>
      </c>
      <c r="I126" s="36" t="str">
        <f t="shared" si="8"/>
        <v/>
      </c>
    </row>
    <row r="127" spans="1:9" x14ac:dyDescent="0.35">
      <c r="A127" s="34"/>
      <c r="B127" s="40" t="str">
        <f>IF($A127="","",Settings!$B$4+7*($A127-1))</f>
        <v/>
      </c>
      <c r="C127" s="38"/>
      <c r="D127" s="38"/>
      <c r="E127" s="34"/>
      <c r="F127" s="34"/>
      <c r="G127" s="34"/>
      <c r="H127" s="36" t="str">
        <f t="shared" si="7"/>
        <v/>
      </c>
      <c r="I127" s="36" t="str">
        <f t="shared" si="8"/>
        <v/>
      </c>
    </row>
    <row r="128" spans="1:9" x14ac:dyDescent="0.35">
      <c r="A128" s="34"/>
      <c r="B128" s="40" t="str">
        <f>IF($A128="","",Settings!$B$4+7*($A128-1))</f>
        <v/>
      </c>
      <c r="C128" s="38"/>
      <c r="D128" s="38"/>
      <c r="E128" s="34"/>
      <c r="F128" s="34"/>
      <c r="G128" s="34"/>
      <c r="H128" s="36" t="str">
        <f t="shared" si="7"/>
        <v/>
      </c>
      <c r="I128" s="36" t="str">
        <f t="shared" si="8"/>
        <v/>
      </c>
    </row>
    <row r="129" spans="1:9" x14ac:dyDescent="0.35">
      <c r="A129" s="34"/>
      <c r="B129" s="40" t="str">
        <f>IF($A129="","",Settings!$B$4+7*($A129-1))</f>
        <v/>
      </c>
      <c r="C129" s="38"/>
      <c r="D129" s="38"/>
      <c r="E129" s="34"/>
      <c r="F129" s="34"/>
      <c r="G129" s="34"/>
      <c r="H129" s="36" t="str">
        <f t="shared" si="7"/>
        <v/>
      </c>
      <c r="I129" s="36" t="str">
        <f t="shared" si="8"/>
        <v/>
      </c>
    </row>
    <row r="130" spans="1:9" x14ac:dyDescent="0.35">
      <c r="A130" s="34"/>
      <c r="B130" s="40" t="str">
        <f>IF($A130="","",Settings!$B$4+7*($A130-1))</f>
        <v/>
      </c>
      <c r="C130" s="38"/>
      <c r="D130" s="38"/>
      <c r="E130" s="34"/>
      <c r="F130" s="34"/>
      <c r="G130" s="34"/>
      <c r="H130" s="36" t="str">
        <f t="shared" si="7"/>
        <v/>
      </c>
      <c r="I130" s="36" t="str">
        <f t="shared" si="8"/>
        <v/>
      </c>
    </row>
    <row r="131" spans="1:9" x14ac:dyDescent="0.35">
      <c r="A131" s="34"/>
      <c r="B131" s="40" t="str">
        <f>IF($A131="","",Settings!$B$4+7*($A131-1))</f>
        <v/>
      </c>
      <c r="C131" s="38"/>
      <c r="D131" s="38"/>
      <c r="E131" s="34"/>
      <c r="F131" s="34"/>
      <c r="G131" s="34"/>
      <c r="H131" s="36" t="str">
        <f t="shared" si="7"/>
        <v/>
      </c>
      <c r="I131" s="36" t="str">
        <f t="shared" si="8"/>
        <v/>
      </c>
    </row>
    <row r="132" spans="1:9" x14ac:dyDescent="0.35">
      <c r="A132" s="34"/>
      <c r="B132" s="40" t="str">
        <f>IF($A132="","",Settings!$B$4+7*($A132-1))</f>
        <v/>
      </c>
      <c r="C132" s="38"/>
      <c r="D132" s="38"/>
      <c r="E132" s="34"/>
      <c r="F132" s="34"/>
      <c r="G132" s="34"/>
      <c r="H132" s="36" t="str">
        <f t="shared" si="7"/>
        <v/>
      </c>
      <c r="I132" s="36" t="str">
        <f t="shared" si="8"/>
        <v/>
      </c>
    </row>
    <row r="133" spans="1:9" x14ac:dyDescent="0.35">
      <c r="A133" s="34"/>
      <c r="B133" s="40" t="str">
        <f>IF($A133="","",Settings!$B$4+7*($A133-1))</f>
        <v/>
      </c>
      <c r="C133" s="38"/>
      <c r="D133" s="38"/>
      <c r="E133" s="34"/>
      <c r="F133" s="34"/>
      <c r="G133" s="34"/>
      <c r="H133" s="36" t="str">
        <f t="shared" si="7"/>
        <v/>
      </c>
      <c r="I133" s="36" t="str">
        <f t="shared" si="8"/>
        <v/>
      </c>
    </row>
    <row r="134" spans="1:9" x14ac:dyDescent="0.35">
      <c r="A134" s="34"/>
      <c r="B134" s="40" t="str">
        <f>IF($A134="","",Settings!$B$4+7*($A134-1))</f>
        <v/>
      </c>
      <c r="C134" s="38"/>
      <c r="D134" s="38"/>
      <c r="E134" s="34"/>
      <c r="F134" s="34"/>
      <c r="G134" s="34"/>
      <c r="H134" s="36" t="str">
        <f t="shared" ref="H134:H165" si="9">IF(N(E134)&gt;0,F134/E134,"")</f>
        <v/>
      </c>
      <c r="I134" s="36" t="str">
        <f t="shared" ref="I134:I165" si="10">IF(N(F134)&gt;0,G134/F134,"")</f>
        <v/>
      </c>
    </row>
    <row r="135" spans="1:9" x14ac:dyDescent="0.35">
      <c r="A135" s="34"/>
      <c r="B135" s="40" t="str">
        <f>IF($A135="","",Settings!$B$4+7*($A135-1))</f>
        <v/>
      </c>
      <c r="C135" s="38"/>
      <c r="D135" s="38"/>
      <c r="E135" s="34"/>
      <c r="F135" s="34"/>
      <c r="G135" s="34"/>
      <c r="H135" s="36" t="str">
        <f t="shared" si="9"/>
        <v/>
      </c>
      <c r="I135" s="36" t="str">
        <f t="shared" si="10"/>
        <v/>
      </c>
    </row>
    <row r="136" spans="1:9" x14ac:dyDescent="0.35">
      <c r="A136" s="34"/>
      <c r="B136" s="40" t="str">
        <f>IF($A136="","",Settings!$B$4+7*($A136-1))</f>
        <v/>
      </c>
      <c r="C136" s="38"/>
      <c r="D136" s="38"/>
      <c r="E136" s="34"/>
      <c r="F136" s="34"/>
      <c r="G136" s="34"/>
      <c r="H136" s="36" t="str">
        <f t="shared" si="9"/>
        <v/>
      </c>
      <c r="I136" s="36" t="str">
        <f t="shared" si="10"/>
        <v/>
      </c>
    </row>
    <row r="137" spans="1:9" x14ac:dyDescent="0.35">
      <c r="A137" s="34"/>
      <c r="B137" s="40" t="str">
        <f>IF($A137="","",Settings!$B$4+7*($A137-1))</f>
        <v/>
      </c>
      <c r="C137" s="38"/>
      <c r="D137" s="38"/>
      <c r="E137" s="34"/>
      <c r="F137" s="34"/>
      <c r="G137" s="34"/>
      <c r="H137" s="36" t="str">
        <f t="shared" si="9"/>
        <v/>
      </c>
      <c r="I137" s="36" t="str">
        <f t="shared" si="10"/>
        <v/>
      </c>
    </row>
    <row r="138" spans="1:9" x14ac:dyDescent="0.35">
      <c r="A138" s="34"/>
      <c r="B138" s="40" t="str">
        <f>IF($A138="","",Settings!$B$4+7*($A138-1))</f>
        <v/>
      </c>
      <c r="C138" s="38"/>
      <c r="D138" s="38"/>
      <c r="E138" s="34"/>
      <c r="F138" s="34"/>
      <c r="G138" s="34"/>
      <c r="H138" s="36" t="str">
        <f t="shared" si="9"/>
        <v/>
      </c>
      <c r="I138" s="36" t="str">
        <f t="shared" si="10"/>
        <v/>
      </c>
    </row>
    <row r="139" spans="1:9" x14ac:dyDescent="0.35">
      <c r="A139" s="34"/>
      <c r="B139" s="40" t="str">
        <f>IF($A139="","",Settings!$B$4+7*($A139-1))</f>
        <v/>
      </c>
      <c r="C139" s="38"/>
      <c r="D139" s="38"/>
      <c r="E139" s="34"/>
      <c r="F139" s="34"/>
      <c r="G139" s="34"/>
      <c r="H139" s="36" t="str">
        <f t="shared" si="9"/>
        <v/>
      </c>
      <c r="I139" s="36" t="str">
        <f t="shared" si="10"/>
        <v/>
      </c>
    </row>
    <row r="140" spans="1:9" x14ac:dyDescent="0.35">
      <c r="A140" s="34"/>
      <c r="B140" s="40" t="str">
        <f>IF($A140="","",Settings!$B$4+7*($A140-1))</f>
        <v/>
      </c>
      <c r="C140" s="38"/>
      <c r="D140" s="38"/>
      <c r="E140" s="34"/>
      <c r="F140" s="34"/>
      <c r="G140" s="34"/>
      <c r="H140" s="36" t="str">
        <f t="shared" si="9"/>
        <v/>
      </c>
      <c r="I140" s="36" t="str">
        <f t="shared" si="10"/>
        <v/>
      </c>
    </row>
    <row r="141" spans="1:9" x14ac:dyDescent="0.35">
      <c r="A141" s="34"/>
      <c r="B141" s="40" t="str">
        <f>IF($A141="","",Settings!$B$4+7*($A141-1))</f>
        <v/>
      </c>
      <c r="C141" s="38"/>
      <c r="D141" s="38"/>
      <c r="E141" s="34"/>
      <c r="F141" s="34"/>
      <c r="G141" s="34"/>
      <c r="H141" s="36" t="str">
        <f t="shared" si="9"/>
        <v/>
      </c>
      <c r="I141" s="36" t="str">
        <f t="shared" si="10"/>
        <v/>
      </c>
    </row>
    <row r="142" spans="1:9" x14ac:dyDescent="0.35">
      <c r="A142" s="34"/>
      <c r="B142" s="40" t="str">
        <f>IF($A142="","",Settings!$B$4+7*($A142-1))</f>
        <v/>
      </c>
      <c r="C142" s="38"/>
      <c r="D142" s="38"/>
      <c r="E142" s="34"/>
      <c r="F142" s="34"/>
      <c r="G142" s="34"/>
      <c r="H142" s="36" t="str">
        <f t="shared" si="9"/>
        <v/>
      </c>
      <c r="I142" s="36" t="str">
        <f t="shared" si="10"/>
        <v/>
      </c>
    </row>
    <row r="143" spans="1:9" x14ac:dyDescent="0.35">
      <c r="A143" s="34"/>
      <c r="B143" s="40" t="str">
        <f>IF($A143="","",Settings!$B$4+7*($A143-1))</f>
        <v/>
      </c>
      <c r="C143" s="38"/>
      <c r="D143" s="38"/>
      <c r="E143" s="34"/>
      <c r="F143" s="34"/>
      <c r="G143" s="34"/>
      <c r="H143" s="36" t="str">
        <f t="shared" si="9"/>
        <v/>
      </c>
      <c r="I143" s="36" t="str">
        <f t="shared" si="10"/>
        <v/>
      </c>
    </row>
    <row r="144" spans="1:9" x14ac:dyDescent="0.35">
      <c r="A144" s="34"/>
      <c r="B144" s="40" t="str">
        <f>IF($A144="","",Settings!$B$4+7*($A144-1))</f>
        <v/>
      </c>
      <c r="C144" s="38"/>
      <c r="D144" s="38"/>
      <c r="E144" s="34"/>
      <c r="F144" s="34"/>
      <c r="G144" s="34"/>
      <c r="H144" s="36" t="str">
        <f t="shared" si="9"/>
        <v/>
      </c>
      <c r="I144" s="36" t="str">
        <f t="shared" si="10"/>
        <v/>
      </c>
    </row>
    <row r="145" spans="1:9" x14ac:dyDescent="0.35">
      <c r="A145" s="34"/>
      <c r="B145" s="40" t="str">
        <f>IF($A145="","",Settings!$B$4+7*($A145-1))</f>
        <v/>
      </c>
      <c r="C145" s="38"/>
      <c r="D145" s="38"/>
      <c r="E145" s="34"/>
      <c r="F145" s="34"/>
      <c r="G145" s="34"/>
      <c r="H145" s="36" t="str">
        <f t="shared" si="9"/>
        <v/>
      </c>
      <c r="I145" s="36" t="str">
        <f t="shared" si="10"/>
        <v/>
      </c>
    </row>
    <row r="146" spans="1:9" x14ac:dyDescent="0.35">
      <c r="A146" s="34"/>
      <c r="B146" s="40" t="str">
        <f>IF($A146="","",Settings!$B$4+7*($A146-1))</f>
        <v/>
      </c>
      <c r="C146" s="38"/>
      <c r="D146" s="38"/>
      <c r="E146" s="34"/>
      <c r="F146" s="34"/>
      <c r="G146" s="34"/>
      <c r="H146" s="36" t="str">
        <f t="shared" si="9"/>
        <v/>
      </c>
      <c r="I146" s="36" t="str">
        <f t="shared" si="10"/>
        <v/>
      </c>
    </row>
    <row r="147" spans="1:9" x14ac:dyDescent="0.35">
      <c r="A147" s="34"/>
      <c r="B147" s="40" t="str">
        <f>IF($A147="","",Settings!$B$4+7*($A147-1))</f>
        <v/>
      </c>
      <c r="C147" s="38"/>
      <c r="D147" s="38"/>
      <c r="E147" s="34"/>
      <c r="F147" s="34"/>
      <c r="G147" s="34"/>
      <c r="H147" s="36" t="str">
        <f t="shared" si="9"/>
        <v/>
      </c>
      <c r="I147" s="36" t="str">
        <f t="shared" si="10"/>
        <v/>
      </c>
    </row>
    <row r="148" spans="1:9" x14ac:dyDescent="0.35">
      <c r="A148" s="34"/>
      <c r="B148" s="40" t="str">
        <f>IF($A148="","",Settings!$B$4+7*($A148-1))</f>
        <v/>
      </c>
      <c r="C148" s="38"/>
      <c r="D148" s="38"/>
      <c r="E148" s="34"/>
      <c r="F148" s="34"/>
      <c r="G148" s="34"/>
      <c r="H148" s="36" t="str">
        <f t="shared" si="9"/>
        <v/>
      </c>
      <c r="I148" s="36" t="str">
        <f t="shared" si="10"/>
        <v/>
      </c>
    </row>
    <row r="149" spans="1:9" x14ac:dyDescent="0.35">
      <c r="A149" s="34"/>
      <c r="B149" s="40" t="str">
        <f>IF($A149="","",Settings!$B$4+7*($A149-1))</f>
        <v/>
      </c>
      <c r="C149" s="38"/>
      <c r="D149" s="38"/>
      <c r="E149" s="34"/>
      <c r="F149" s="34"/>
      <c r="G149" s="34"/>
      <c r="H149" s="36" t="str">
        <f t="shared" si="9"/>
        <v/>
      </c>
      <c r="I149" s="36" t="str">
        <f t="shared" si="10"/>
        <v/>
      </c>
    </row>
    <row r="150" spans="1:9" x14ac:dyDescent="0.35">
      <c r="A150" s="34"/>
      <c r="B150" s="40" t="str">
        <f>IF($A150="","",Settings!$B$4+7*($A150-1))</f>
        <v/>
      </c>
      <c r="C150" s="38"/>
      <c r="D150" s="38"/>
      <c r="E150" s="34"/>
      <c r="F150" s="34"/>
      <c r="G150" s="34"/>
      <c r="H150" s="36" t="str">
        <f t="shared" si="9"/>
        <v/>
      </c>
      <c r="I150" s="36" t="str">
        <f t="shared" si="10"/>
        <v/>
      </c>
    </row>
    <row r="151" spans="1:9" x14ac:dyDescent="0.35">
      <c r="A151" s="34"/>
      <c r="B151" s="40" t="str">
        <f>IF($A151="","",Settings!$B$4+7*($A151-1))</f>
        <v/>
      </c>
      <c r="C151" s="38"/>
      <c r="D151" s="38"/>
      <c r="E151" s="34"/>
      <c r="F151" s="34"/>
      <c r="G151" s="34"/>
      <c r="H151" s="36" t="str">
        <f t="shared" si="9"/>
        <v/>
      </c>
      <c r="I151" s="36" t="str">
        <f t="shared" si="10"/>
        <v/>
      </c>
    </row>
    <row r="152" spans="1:9" x14ac:dyDescent="0.35">
      <c r="A152" s="34"/>
      <c r="B152" s="40" t="str">
        <f>IF($A152="","",Settings!$B$4+7*($A152-1))</f>
        <v/>
      </c>
      <c r="C152" s="38"/>
      <c r="D152" s="38"/>
      <c r="E152" s="34"/>
      <c r="F152" s="34"/>
      <c r="G152" s="34"/>
      <c r="H152" s="36" t="str">
        <f t="shared" si="9"/>
        <v/>
      </c>
      <c r="I152" s="36" t="str">
        <f t="shared" si="10"/>
        <v/>
      </c>
    </row>
    <row r="153" spans="1:9" x14ac:dyDescent="0.35">
      <c r="A153" s="34"/>
      <c r="B153" s="40" t="str">
        <f>IF($A153="","",Settings!$B$4+7*($A153-1))</f>
        <v/>
      </c>
      <c r="C153" s="38"/>
      <c r="D153" s="38"/>
      <c r="E153" s="34"/>
      <c r="F153" s="34"/>
      <c r="G153" s="34"/>
      <c r="H153" s="36" t="str">
        <f t="shared" si="9"/>
        <v/>
      </c>
      <c r="I153" s="36" t="str">
        <f t="shared" si="10"/>
        <v/>
      </c>
    </row>
    <row r="154" spans="1:9" x14ac:dyDescent="0.35">
      <c r="A154" s="34"/>
      <c r="B154" s="40" t="str">
        <f>IF($A154="","",Settings!$B$4+7*($A154-1))</f>
        <v/>
      </c>
      <c r="C154" s="38"/>
      <c r="D154" s="38"/>
      <c r="E154" s="34"/>
      <c r="F154" s="34"/>
      <c r="G154" s="34"/>
      <c r="H154" s="36" t="str">
        <f t="shared" si="9"/>
        <v/>
      </c>
      <c r="I154" s="36" t="str">
        <f t="shared" si="10"/>
        <v/>
      </c>
    </row>
    <row r="155" spans="1:9" x14ac:dyDescent="0.35">
      <c r="A155" s="34"/>
      <c r="B155" s="40" t="str">
        <f>IF($A155="","",Settings!$B$4+7*($A155-1))</f>
        <v/>
      </c>
      <c r="C155" s="38"/>
      <c r="D155" s="38"/>
      <c r="E155" s="34"/>
      <c r="F155" s="34"/>
      <c r="G155" s="34"/>
      <c r="H155" s="36" t="str">
        <f t="shared" si="9"/>
        <v/>
      </c>
      <c r="I155" s="36" t="str">
        <f t="shared" si="10"/>
        <v/>
      </c>
    </row>
    <row r="156" spans="1:9" x14ac:dyDescent="0.35">
      <c r="A156" s="34"/>
      <c r="B156" s="40" t="str">
        <f>IF($A156="","",Settings!$B$4+7*($A156-1))</f>
        <v/>
      </c>
      <c r="C156" s="38"/>
      <c r="D156" s="38"/>
      <c r="E156" s="34"/>
      <c r="F156" s="34"/>
      <c r="G156" s="34"/>
      <c r="H156" s="36" t="str">
        <f t="shared" si="9"/>
        <v/>
      </c>
      <c r="I156" s="36" t="str">
        <f t="shared" si="10"/>
        <v/>
      </c>
    </row>
    <row r="157" spans="1:9" x14ac:dyDescent="0.35">
      <c r="A157" s="34"/>
      <c r="B157" s="40" t="str">
        <f>IF($A157="","",Settings!$B$4+7*($A157-1))</f>
        <v/>
      </c>
      <c r="C157" s="38"/>
      <c r="D157" s="38"/>
      <c r="E157" s="34"/>
      <c r="F157" s="34"/>
      <c r="G157" s="34"/>
      <c r="H157" s="36" t="str">
        <f t="shared" si="9"/>
        <v/>
      </c>
      <c r="I157" s="36" t="str">
        <f t="shared" si="10"/>
        <v/>
      </c>
    </row>
    <row r="158" spans="1:9" x14ac:dyDescent="0.35">
      <c r="A158" s="34"/>
      <c r="B158" s="40" t="str">
        <f>IF($A158="","",Settings!$B$4+7*($A158-1))</f>
        <v/>
      </c>
      <c r="C158" s="38"/>
      <c r="D158" s="38"/>
      <c r="E158" s="34"/>
      <c r="F158" s="34"/>
      <c r="G158" s="34"/>
      <c r="H158" s="36" t="str">
        <f t="shared" si="9"/>
        <v/>
      </c>
      <c r="I158" s="36" t="str">
        <f t="shared" si="10"/>
        <v/>
      </c>
    </row>
    <row r="159" spans="1:9" x14ac:dyDescent="0.35">
      <c r="A159" s="34"/>
      <c r="B159" s="40" t="str">
        <f>IF($A159="","",Settings!$B$4+7*($A159-1))</f>
        <v/>
      </c>
      <c r="C159" s="38"/>
      <c r="D159" s="38"/>
      <c r="E159" s="34"/>
      <c r="F159" s="34"/>
      <c r="G159" s="34"/>
      <c r="H159" s="36" t="str">
        <f t="shared" si="9"/>
        <v/>
      </c>
      <c r="I159" s="36" t="str">
        <f t="shared" si="10"/>
        <v/>
      </c>
    </row>
    <row r="160" spans="1:9" x14ac:dyDescent="0.35">
      <c r="A160" s="34"/>
      <c r="B160" s="40" t="str">
        <f>IF($A160="","",Settings!$B$4+7*($A160-1))</f>
        <v/>
      </c>
      <c r="C160" s="38"/>
      <c r="D160" s="38"/>
      <c r="E160" s="34"/>
      <c r="F160" s="34"/>
      <c r="G160" s="34"/>
      <c r="H160" s="36" t="str">
        <f t="shared" si="9"/>
        <v/>
      </c>
      <c r="I160" s="36" t="str">
        <f t="shared" si="10"/>
        <v/>
      </c>
    </row>
    <row r="161" spans="1:9" x14ac:dyDescent="0.35">
      <c r="A161" s="34"/>
      <c r="B161" s="40" t="str">
        <f>IF($A161="","",Settings!$B$4+7*($A161-1))</f>
        <v/>
      </c>
      <c r="C161" s="38"/>
      <c r="D161" s="38"/>
      <c r="E161" s="34"/>
      <c r="F161" s="34"/>
      <c r="G161" s="34"/>
      <c r="H161" s="36" t="str">
        <f t="shared" si="9"/>
        <v/>
      </c>
      <c r="I161" s="36" t="str">
        <f t="shared" si="10"/>
        <v/>
      </c>
    </row>
    <row r="162" spans="1:9" x14ac:dyDescent="0.35">
      <c r="A162" s="34"/>
      <c r="B162" s="40" t="str">
        <f>IF($A162="","",Settings!$B$4+7*($A162-1))</f>
        <v/>
      </c>
      <c r="C162" s="38"/>
      <c r="D162" s="38"/>
      <c r="E162" s="34"/>
      <c r="F162" s="34"/>
      <c r="G162" s="34"/>
      <c r="H162" s="36" t="str">
        <f t="shared" si="9"/>
        <v/>
      </c>
      <c r="I162" s="36" t="str">
        <f t="shared" si="10"/>
        <v/>
      </c>
    </row>
    <row r="163" spans="1:9" x14ac:dyDescent="0.35">
      <c r="A163" s="34"/>
      <c r="B163" s="40" t="str">
        <f>IF($A163="","",Settings!$B$4+7*($A163-1))</f>
        <v/>
      </c>
      <c r="C163" s="38"/>
      <c r="D163" s="38"/>
      <c r="E163" s="34"/>
      <c r="F163" s="34"/>
      <c r="G163" s="34"/>
      <c r="H163" s="36" t="str">
        <f t="shared" si="9"/>
        <v/>
      </c>
      <c r="I163" s="36" t="str">
        <f t="shared" si="10"/>
        <v/>
      </c>
    </row>
    <row r="164" spans="1:9" x14ac:dyDescent="0.35">
      <c r="A164" s="34"/>
      <c r="B164" s="40" t="str">
        <f>IF($A164="","",Settings!$B$4+7*($A164-1))</f>
        <v/>
      </c>
      <c r="C164" s="38"/>
      <c r="D164" s="38"/>
      <c r="E164" s="34"/>
      <c r="F164" s="34"/>
      <c r="G164" s="34"/>
      <c r="H164" s="36" t="str">
        <f t="shared" si="9"/>
        <v/>
      </c>
      <c r="I164" s="36" t="str">
        <f t="shared" si="10"/>
        <v/>
      </c>
    </row>
    <row r="165" spans="1:9" x14ac:dyDescent="0.35">
      <c r="A165" s="34"/>
      <c r="B165" s="40" t="str">
        <f>IF($A165="","",Settings!$B$4+7*($A165-1))</f>
        <v/>
      </c>
      <c r="C165" s="38"/>
      <c r="D165" s="38"/>
      <c r="E165" s="34"/>
      <c r="F165" s="34"/>
      <c r="G165" s="34"/>
      <c r="H165" s="36" t="str">
        <f t="shared" si="9"/>
        <v/>
      </c>
      <c r="I165" s="36" t="str">
        <f t="shared" si="10"/>
        <v/>
      </c>
    </row>
    <row r="166" spans="1:9" x14ac:dyDescent="0.35">
      <c r="A166" s="34"/>
      <c r="B166" s="40" t="str">
        <f>IF($A166="","",Settings!$B$4+7*($A166-1))</f>
        <v/>
      </c>
      <c r="C166" s="38"/>
      <c r="D166" s="38"/>
      <c r="E166" s="34"/>
      <c r="F166" s="34"/>
      <c r="G166" s="34"/>
      <c r="H166" s="36" t="str">
        <f t="shared" ref="H166:H197" si="11">IF(N(E166)&gt;0,F166/E166,"")</f>
        <v/>
      </c>
      <c r="I166" s="36" t="str">
        <f t="shared" ref="I166:I197" si="12">IF(N(F166)&gt;0,G166/F166,"")</f>
        <v/>
      </c>
    </row>
    <row r="167" spans="1:9" x14ac:dyDescent="0.35">
      <c r="A167" s="34"/>
      <c r="B167" s="40" t="str">
        <f>IF($A167="","",Settings!$B$4+7*($A167-1))</f>
        <v/>
      </c>
      <c r="C167" s="38"/>
      <c r="D167" s="38"/>
      <c r="E167" s="34"/>
      <c r="F167" s="34"/>
      <c r="G167" s="34"/>
      <c r="H167" s="36" t="str">
        <f t="shared" si="11"/>
        <v/>
      </c>
      <c r="I167" s="36" t="str">
        <f t="shared" si="12"/>
        <v/>
      </c>
    </row>
    <row r="168" spans="1:9" x14ac:dyDescent="0.35">
      <c r="A168" s="34"/>
      <c r="B168" s="40" t="str">
        <f>IF($A168="","",Settings!$B$4+7*($A168-1))</f>
        <v/>
      </c>
      <c r="C168" s="38"/>
      <c r="D168" s="38"/>
      <c r="E168" s="34"/>
      <c r="F168" s="34"/>
      <c r="G168" s="34"/>
      <c r="H168" s="36" t="str">
        <f t="shared" si="11"/>
        <v/>
      </c>
      <c r="I168" s="36" t="str">
        <f t="shared" si="12"/>
        <v/>
      </c>
    </row>
    <row r="169" spans="1:9" x14ac:dyDescent="0.35">
      <c r="A169" s="34"/>
      <c r="B169" s="40" t="str">
        <f>IF($A169="","",Settings!$B$4+7*($A169-1))</f>
        <v/>
      </c>
      <c r="C169" s="38"/>
      <c r="D169" s="38"/>
      <c r="E169" s="34"/>
      <c r="F169" s="34"/>
      <c r="G169" s="34"/>
      <c r="H169" s="36" t="str">
        <f t="shared" si="11"/>
        <v/>
      </c>
      <c r="I169" s="36" t="str">
        <f t="shared" si="12"/>
        <v/>
      </c>
    </row>
    <row r="170" spans="1:9" x14ac:dyDescent="0.35">
      <c r="A170" s="34"/>
      <c r="B170" s="40" t="str">
        <f>IF($A170="","",Settings!$B$4+7*($A170-1))</f>
        <v/>
      </c>
      <c r="C170" s="38"/>
      <c r="D170" s="38"/>
      <c r="E170" s="34"/>
      <c r="F170" s="34"/>
      <c r="G170" s="34"/>
      <c r="H170" s="36" t="str">
        <f t="shared" si="11"/>
        <v/>
      </c>
      <c r="I170" s="36" t="str">
        <f t="shared" si="12"/>
        <v/>
      </c>
    </row>
    <row r="171" spans="1:9" x14ac:dyDescent="0.35">
      <c r="A171" s="34"/>
      <c r="B171" s="40" t="str">
        <f>IF($A171="","",Settings!$B$4+7*($A171-1))</f>
        <v/>
      </c>
      <c r="C171" s="38"/>
      <c r="D171" s="38"/>
      <c r="E171" s="34"/>
      <c r="F171" s="34"/>
      <c r="G171" s="34"/>
      <c r="H171" s="36" t="str">
        <f t="shared" si="11"/>
        <v/>
      </c>
      <c r="I171" s="36" t="str">
        <f t="shared" si="12"/>
        <v/>
      </c>
    </row>
    <row r="172" spans="1:9" x14ac:dyDescent="0.35">
      <c r="A172" s="34"/>
      <c r="B172" s="40" t="str">
        <f>IF($A172="","",Settings!$B$4+7*($A172-1))</f>
        <v/>
      </c>
      <c r="C172" s="38"/>
      <c r="D172" s="38"/>
      <c r="E172" s="34"/>
      <c r="F172" s="34"/>
      <c r="G172" s="34"/>
      <c r="H172" s="36" t="str">
        <f t="shared" si="11"/>
        <v/>
      </c>
      <c r="I172" s="36" t="str">
        <f t="shared" si="12"/>
        <v/>
      </c>
    </row>
    <row r="173" spans="1:9" x14ac:dyDescent="0.35">
      <c r="A173" s="34"/>
      <c r="B173" s="40" t="str">
        <f>IF($A173="","",Settings!$B$4+7*($A173-1))</f>
        <v/>
      </c>
      <c r="C173" s="38"/>
      <c r="D173" s="38"/>
      <c r="E173" s="34"/>
      <c r="F173" s="34"/>
      <c r="G173" s="34"/>
      <c r="H173" s="36" t="str">
        <f t="shared" si="11"/>
        <v/>
      </c>
      <c r="I173" s="36" t="str">
        <f t="shared" si="12"/>
        <v/>
      </c>
    </row>
    <row r="174" spans="1:9" x14ac:dyDescent="0.35">
      <c r="A174" s="34"/>
      <c r="B174" s="40" t="str">
        <f>IF($A174="","",Settings!$B$4+7*($A174-1))</f>
        <v/>
      </c>
      <c r="C174" s="38"/>
      <c r="D174" s="38"/>
      <c r="E174" s="34"/>
      <c r="F174" s="34"/>
      <c r="G174" s="34"/>
      <c r="H174" s="36" t="str">
        <f t="shared" si="11"/>
        <v/>
      </c>
      <c r="I174" s="36" t="str">
        <f t="shared" si="12"/>
        <v/>
      </c>
    </row>
    <row r="175" spans="1:9" x14ac:dyDescent="0.35">
      <c r="A175" s="34"/>
      <c r="B175" s="40" t="str">
        <f>IF($A175="","",Settings!$B$4+7*($A175-1))</f>
        <v/>
      </c>
      <c r="C175" s="38"/>
      <c r="D175" s="38"/>
      <c r="E175" s="34"/>
      <c r="F175" s="34"/>
      <c r="G175" s="34"/>
      <c r="H175" s="36" t="str">
        <f t="shared" si="11"/>
        <v/>
      </c>
      <c r="I175" s="36" t="str">
        <f t="shared" si="12"/>
        <v/>
      </c>
    </row>
    <row r="176" spans="1:9" x14ac:dyDescent="0.35">
      <c r="A176" s="34"/>
      <c r="B176" s="40" t="str">
        <f>IF($A176="","",Settings!$B$4+7*($A176-1))</f>
        <v/>
      </c>
      <c r="C176" s="38"/>
      <c r="D176" s="38"/>
      <c r="E176" s="34"/>
      <c r="F176" s="34"/>
      <c r="G176" s="34"/>
      <c r="H176" s="36" t="str">
        <f t="shared" si="11"/>
        <v/>
      </c>
      <c r="I176" s="36" t="str">
        <f t="shared" si="12"/>
        <v/>
      </c>
    </row>
    <row r="177" spans="1:9" x14ac:dyDescent="0.35">
      <c r="A177" s="34"/>
      <c r="B177" s="40" t="str">
        <f>IF($A177="","",Settings!$B$4+7*($A177-1))</f>
        <v/>
      </c>
      <c r="C177" s="38"/>
      <c r="D177" s="38"/>
      <c r="E177" s="34"/>
      <c r="F177" s="34"/>
      <c r="G177" s="34"/>
      <c r="H177" s="36" t="str">
        <f t="shared" si="11"/>
        <v/>
      </c>
      <c r="I177" s="36" t="str">
        <f t="shared" si="12"/>
        <v/>
      </c>
    </row>
    <row r="178" spans="1:9" x14ac:dyDescent="0.35">
      <c r="A178" s="34"/>
      <c r="B178" s="40" t="str">
        <f>IF($A178="","",Settings!$B$4+7*($A178-1))</f>
        <v/>
      </c>
      <c r="C178" s="38"/>
      <c r="D178" s="38"/>
      <c r="E178" s="34"/>
      <c r="F178" s="34"/>
      <c r="G178" s="34"/>
      <c r="H178" s="36" t="str">
        <f t="shared" si="11"/>
        <v/>
      </c>
      <c r="I178" s="36" t="str">
        <f t="shared" si="12"/>
        <v/>
      </c>
    </row>
    <row r="179" spans="1:9" x14ac:dyDescent="0.35">
      <c r="A179" s="34"/>
      <c r="B179" s="40" t="str">
        <f>IF($A179="","",Settings!$B$4+7*($A179-1))</f>
        <v/>
      </c>
      <c r="C179" s="38"/>
      <c r="D179" s="38"/>
      <c r="E179" s="34"/>
      <c r="F179" s="34"/>
      <c r="G179" s="34"/>
      <c r="H179" s="36" t="str">
        <f t="shared" si="11"/>
        <v/>
      </c>
      <c r="I179" s="36" t="str">
        <f t="shared" si="12"/>
        <v/>
      </c>
    </row>
    <row r="180" spans="1:9" x14ac:dyDescent="0.35">
      <c r="A180" s="34"/>
      <c r="B180" s="40" t="str">
        <f>IF($A180="","",Settings!$B$4+7*($A180-1))</f>
        <v/>
      </c>
      <c r="C180" s="38"/>
      <c r="D180" s="38"/>
      <c r="E180" s="34"/>
      <c r="F180" s="34"/>
      <c r="G180" s="34"/>
      <c r="H180" s="36" t="str">
        <f t="shared" si="11"/>
        <v/>
      </c>
      <c r="I180" s="36" t="str">
        <f t="shared" si="12"/>
        <v/>
      </c>
    </row>
    <row r="181" spans="1:9" x14ac:dyDescent="0.35">
      <c r="A181" s="34"/>
      <c r="B181" s="40" t="str">
        <f>IF($A181="","",Settings!$B$4+7*($A181-1))</f>
        <v/>
      </c>
      <c r="C181" s="38"/>
      <c r="D181" s="38"/>
      <c r="E181" s="34"/>
      <c r="F181" s="34"/>
      <c r="G181" s="34"/>
      <c r="H181" s="36" t="str">
        <f t="shared" si="11"/>
        <v/>
      </c>
      <c r="I181" s="36" t="str">
        <f t="shared" si="12"/>
        <v/>
      </c>
    </row>
    <row r="182" spans="1:9" x14ac:dyDescent="0.35">
      <c r="A182" s="34"/>
      <c r="B182" s="40" t="str">
        <f>IF($A182="","",Settings!$B$4+7*($A182-1))</f>
        <v/>
      </c>
      <c r="C182" s="38"/>
      <c r="D182" s="38"/>
      <c r="E182" s="34"/>
      <c r="F182" s="34"/>
      <c r="G182" s="34"/>
      <c r="H182" s="36" t="str">
        <f t="shared" si="11"/>
        <v/>
      </c>
      <c r="I182" s="36" t="str">
        <f t="shared" si="12"/>
        <v/>
      </c>
    </row>
    <row r="183" spans="1:9" x14ac:dyDescent="0.35">
      <c r="A183" s="34"/>
      <c r="B183" s="40" t="str">
        <f>IF($A183="","",Settings!$B$4+7*($A183-1))</f>
        <v/>
      </c>
      <c r="C183" s="38"/>
      <c r="D183" s="38"/>
      <c r="E183" s="34"/>
      <c r="F183" s="34"/>
      <c r="G183" s="34"/>
      <c r="H183" s="36" t="str">
        <f t="shared" si="11"/>
        <v/>
      </c>
      <c r="I183" s="36" t="str">
        <f t="shared" si="12"/>
        <v/>
      </c>
    </row>
    <row r="184" spans="1:9" x14ac:dyDescent="0.35">
      <c r="A184" s="34"/>
      <c r="B184" s="40" t="str">
        <f>IF($A184="","",Settings!$B$4+7*($A184-1))</f>
        <v/>
      </c>
      <c r="C184" s="38"/>
      <c r="D184" s="38"/>
      <c r="E184" s="34"/>
      <c r="F184" s="34"/>
      <c r="G184" s="34"/>
      <c r="H184" s="36" t="str">
        <f t="shared" si="11"/>
        <v/>
      </c>
      <c r="I184" s="36" t="str">
        <f t="shared" si="12"/>
        <v/>
      </c>
    </row>
    <row r="185" spans="1:9" x14ac:dyDescent="0.35">
      <c r="A185" s="34"/>
      <c r="B185" s="40" t="str">
        <f>IF($A185="","",Settings!$B$4+7*($A185-1))</f>
        <v/>
      </c>
      <c r="C185" s="38"/>
      <c r="D185" s="38"/>
      <c r="E185" s="34"/>
      <c r="F185" s="34"/>
      <c r="G185" s="34"/>
      <c r="H185" s="36" t="str">
        <f t="shared" si="11"/>
        <v/>
      </c>
      <c r="I185" s="36" t="str">
        <f t="shared" si="12"/>
        <v/>
      </c>
    </row>
    <row r="186" spans="1:9" x14ac:dyDescent="0.35">
      <c r="A186" s="34"/>
      <c r="B186" s="40" t="str">
        <f>IF($A186="","",Settings!$B$4+7*($A186-1))</f>
        <v/>
      </c>
      <c r="C186" s="38"/>
      <c r="D186" s="38"/>
      <c r="E186" s="34"/>
      <c r="F186" s="34"/>
      <c r="G186" s="34"/>
      <c r="H186" s="36" t="str">
        <f t="shared" si="11"/>
        <v/>
      </c>
      <c r="I186" s="36" t="str">
        <f t="shared" si="12"/>
        <v/>
      </c>
    </row>
    <row r="187" spans="1:9" x14ac:dyDescent="0.35">
      <c r="A187" s="34"/>
      <c r="B187" s="40" t="str">
        <f>IF($A187="","",Settings!$B$4+7*($A187-1))</f>
        <v/>
      </c>
      <c r="C187" s="38"/>
      <c r="D187" s="38"/>
      <c r="E187" s="34"/>
      <c r="F187" s="34"/>
      <c r="G187" s="34"/>
      <c r="H187" s="36" t="str">
        <f t="shared" si="11"/>
        <v/>
      </c>
      <c r="I187" s="36" t="str">
        <f t="shared" si="12"/>
        <v/>
      </c>
    </row>
    <row r="188" spans="1:9" x14ac:dyDescent="0.35">
      <c r="A188" s="34"/>
      <c r="B188" s="40" t="str">
        <f>IF($A188="","",Settings!$B$4+7*($A188-1))</f>
        <v/>
      </c>
      <c r="C188" s="38"/>
      <c r="D188" s="38"/>
      <c r="E188" s="34"/>
      <c r="F188" s="34"/>
      <c r="G188" s="34"/>
      <c r="H188" s="36" t="str">
        <f t="shared" si="11"/>
        <v/>
      </c>
      <c r="I188" s="36" t="str">
        <f t="shared" si="12"/>
        <v/>
      </c>
    </row>
    <row r="189" spans="1:9" x14ac:dyDescent="0.35">
      <c r="A189" s="34"/>
      <c r="B189" s="40" t="str">
        <f>IF($A189="","",Settings!$B$4+7*($A189-1))</f>
        <v/>
      </c>
      <c r="C189" s="38"/>
      <c r="D189" s="38"/>
      <c r="E189" s="34"/>
      <c r="F189" s="34"/>
      <c r="G189" s="34"/>
      <c r="H189" s="36" t="str">
        <f t="shared" si="11"/>
        <v/>
      </c>
      <c r="I189" s="36" t="str">
        <f t="shared" si="12"/>
        <v/>
      </c>
    </row>
    <row r="190" spans="1:9" x14ac:dyDescent="0.35">
      <c r="A190" s="34"/>
      <c r="B190" s="40" t="str">
        <f>IF($A190="","",Settings!$B$4+7*($A190-1))</f>
        <v/>
      </c>
      <c r="C190" s="38"/>
      <c r="D190" s="38"/>
      <c r="E190" s="34"/>
      <c r="F190" s="34"/>
      <c r="G190" s="34"/>
      <c r="H190" s="36" t="str">
        <f t="shared" si="11"/>
        <v/>
      </c>
      <c r="I190" s="36" t="str">
        <f t="shared" si="12"/>
        <v/>
      </c>
    </row>
    <row r="191" spans="1:9" x14ac:dyDescent="0.35">
      <c r="A191" s="34"/>
      <c r="B191" s="40" t="str">
        <f>IF($A191="","",Settings!$B$4+7*($A191-1))</f>
        <v/>
      </c>
      <c r="C191" s="38"/>
      <c r="D191" s="38"/>
      <c r="E191" s="34"/>
      <c r="F191" s="34"/>
      <c r="G191" s="34"/>
      <c r="H191" s="36" t="str">
        <f t="shared" si="11"/>
        <v/>
      </c>
      <c r="I191" s="36" t="str">
        <f t="shared" si="12"/>
        <v/>
      </c>
    </row>
    <row r="192" spans="1:9" x14ac:dyDescent="0.35">
      <c r="A192" s="34"/>
      <c r="B192" s="40" t="str">
        <f>IF($A192="","",Settings!$B$4+7*($A192-1))</f>
        <v/>
      </c>
      <c r="C192" s="38"/>
      <c r="D192" s="38"/>
      <c r="E192" s="34"/>
      <c r="F192" s="34"/>
      <c r="G192" s="34"/>
      <c r="H192" s="36" t="str">
        <f t="shared" si="11"/>
        <v/>
      </c>
      <c r="I192" s="36" t="str">
        <f t="shared" si="12"/>
        <v/>
      </c>
    </row>
    <row r="193" spans="1:9" x14ac:dyDescent="0.35">
      <c r="A193" s="34"/>
      <c r="B193" s="40" t="str">
        <f>IF($A193="","",Settings!$B$4+7*($A193-1))</f>
        <v/>
      </c>
      <c r="C193" s="38"/>
      <c r="D193" s="38"/>
      <c r="E193" s="34"/>
      <c r="F193" s="34"/>
      <c r="G193" s="34"/>
      <c r="H193" s="36" t="str">
        <f t="shared" si="11"/>
        <v/>
      </c>
      <c r="I193" s="36" t="str">
        <f t="shared" si="12"/>
        <v/>
      </c>
    </row>
    <row r="194" spans="1:9" x14ac:dyDescent="0.35">
      <c r="A194" s="34"/>
      <c r="B194" s="40" t="str">
        <f>IF($A194="","",Settings!$B$4+7*($A194-1))</f>
        <v/>
      </c>
      <c r="C194" s="38"/>
      <c r="D194" s="38"/>
      <c r="E194" s="34"/>
      <c r="F194" s="34"/>
      <c r="G194" s="34"/>
      <c r="H194" s="36" t="str">
        <f t="shared" si="11"/>
        <v/>
      </c>
      <c r="I194" s="36" t="str">
        <f t="shared" si="12"/>
        <v/>
      </c>
    </row>
    <row r="195" spans="1:9" x14ac:dyDescent="0.35">
      <c r="A195" s="34"/>
      <c r="B195" s="40" t="str">
        <f>IF($A195="","",Settings!$B$4+7*($A195-1))</f>
        <v/>
      </c>
      <c r="C195" s="38"/>
      <c r="D195" s="38"/>
      <c r="E195" s="34"/>
      <c r="F195" s="34"/>
      <c r="G195" s="34"/>
      <c r="H195" s="36" t="str">
        <f t="shared" si="11"/>
        <v/>
      </c>
      <c r="I195" s="36" t="str">
        <f t="shared" si="12"/>
        <v/>
      </c>
    </row>
    <row r="196" spans="1:9" x14ac:dyDescent="0.35">
      <c r="A196" s="34"/>
      <c r="B196" s="40" t="str">
        <f>IF($A196="","",Settings!$B$4+7*($A196-1))</f>
        <v/>
      </c>
      <c r="C196" s="38"/>
      <c r="D196" s="38"/>
      <c r="E196" s="34"/>
      <c r="F196" s="34"/>
      <c r="G196" s="34"/>
      <c r="H196" s="36" t="str">
        <f t="shared" si="11"/>
        <v/>
      </c>
      <c r="I196" s="36" t="str">
        <f t="shared" si="12"/>
        <v/>
      </c>
    </row>
    <row r="197" spans="1:9" x14ac:dyDescent="0.35">
      <c r="A197" s="34"/>
      <c r="B197" s="40" t="str">
        <f>IF($A197="","",Settings!$B$4+7*($A197-1))</f>
        <v/>
      </c>
      <c r="C197" s="38"/>
      <c r="D197" s="38"/>
      <c r="E197" s="34"/>
      <c r="F197" s="34"/>
      <c r="G197" s="34"/>
      <c r="H197" s="36" t="str">
        <f t="shared" si="11"/>
        <v/>
      </c>
      <c r="I197" s="36" t="str">
        <f t="shared" si="12"/>
        <v/>
      </c>
    </row>
    <row r="198" spans="1:9" x14ac:dyDescent="0.35">
      <c r="A198" s="34"/>
      <c r="B198" s="40" t="str">
        <f>IF($A198="","",Settings!$B$4+7*($A198-1))</f>
        <v/>
      </c>
      <c r="C198" s="38"/>
      <c r="D198" s="38"/>
      <c r="E198" s="34"/>
      <c r="F198" s="34"/>
      <c r="G198" s="34"/>
      <c r="H198" s="36" t="str">
        <f t="shared" ref="H198:H205" si="13">IF(N(E198)&gt;0,F198/E198,"")</f>
        <v/>
      </c>
      <c r="I198" s="36" t="str">
        <f t="shared" ref="I198:I205" si="14">IF(N(F198)&gt;0,G198/F198,"")</f>
        <v/>
      </c>
    </row>
    <row r="199" spans="1:9" x14ac:dyDescent="0.35">
      <c r="A199" s="34"/>
      <c r="B199" s="40" t="str">
        <f>IF($A199="","",Settings!$B$4+7*($A199-1))</f>
        <v/>
      </c>
      <c r="C199" s="38"/>
      <c r="D199" s="38"/>
      <c r="E199" s="34"/>
      <c r="F199" s="34"/>
      <c r="G199" s="34"/>
      <c r="H199" s="36" t="str">
        <f t="shared" si="13"/>
        <v/>
      </c>
      <c r="I199" s="36" t="str">
        <f t="shared" si="14"/>
        <v/>
      </c>
    </row>
    <row r="200" spans="1:9" x14ac:dyDescent="0.35">
      <c r="A200" s="34"/>
      <c r="B200" s="40" t="str">
        <f>IF($A200="","",Settings!$B$4+7*($A200-1))</f>
        <v/>
      </c>
      <c r="C200" s="38"/>
      <c r="D200" s="38"/>
      <c r="E200" s="34"/>
      <c r="F200" s="34"/>
      <c r="G200" s="34"/>
      <c r="H200" s="36" t="str">
        <f t="shared" si="13"/>
        <v/>
      </c>
      <c r="I200" s="36" t="str">
        <f t="shared" si="14"/>
        <v/>
      </c>
    </row>
    <row r="201" spans="1:9" x14ac:dyDescent="0.35">
      <c r="A201" s="34"/>
      <c r="B201" s="40" t="str">
        <f>IF($A201="","",Settings!$B$4+7*($A201-1))</f>
        <v/>
      </c>
      <c r="C201" s="38"/>
      <c r="D201" s="38"/>
      <c r="E201" s="34"/>
      <c r="F201" s="34"/>
      <c r="G201" s="34"/>
      <c r="H201" s="36" t="str">
        <f t="shared" si="13"/>
        <v/>
      </c>
      <c r="I201" s="36" t="str">
        <f t="shared" si="14"/>
        <v/>
      </c>
    </row>
    <row r="202" spans="1:9" x14ac:dyDescent="0.35">
      <c r="A202" s="34"/>
      <c r="B202" s="40" t="str">
        <f>IF($A202="","",Settings!$B$4+7*($A202-1))</f>
        <v/>
      </c>
      <c r="C202" s="38"/>
      <c r="D202" s="38"/>
      <c r="E202" s="34"/>
      <c r="F202" s="34"/>
      <c r="G202" s="34"/>
      <c r="H202" s="36" t="str">
        <f t="shared" si="13"/>
        <v/>
      </c>
      <c r="I202" s="36" t="str">
        <f t="shared" si="14"/>
        <v/>
      </c>
    </row>
    <row r="203" spans="1:9" x14ac:dyDescent="0.35">
      <c r="A203" s="34"/>
      <c r="B203" s="40" t="str">
        <f>IF($A203="","",Settings!$B$4+7*($A203-1))</f>
        <v/>
      </c>
      <c r="C203" s="38"/>
      <c r="D203" s="38"/>
      <c r="E203" s="34"/>
      <c r="F203" s="34"/>
      <c r="G203" s="34"/>
      <c r="H203" s="36" t="str">
        <f t="shared" si="13"/>
        <v/>
      </c>
      <c r="I203" s="36" t="str">
        <f t="shared" si="14"/>
        <v/>
      </c>
    </row>
    <row r="204" spans="1:9" x14ac:dyDescent="0.35">
      <c r="A204" s="34"/>
      <c r="B204" s="40" t="str">
        <f>IF($A204="","",Settings!$B$4+7*($A204-1))</f>
        <v/>
      </c>
      <c r="C204" s="38"/>
      <c r="D204" s="38"/>
      <c r="E204" s="34"/>
      <c r="F204" s="34"/>
      <c r="G204" s="34"/>
      <c r="H204" s="36" t="str">
        <f t="shared" si="13"/>
        <v/>
      </c>
      <c r="I204" s="36" t="str">
        <f t="shared" si="14"/>
        <v/>
      </c>
    </row>
    <row r="205" spans="1:9" x14ac:dyDescent="0.35">
      <c r="A205" s="34"/>
      <c r="B205" s="40" t="str">
        <f>IF($A205="","",Settings!$B$4+7*($A205-1))</f>
        <v/>
      </c>
      <c r="C205" s="38"/>
      <c r="D205" s="38"/>
      <c r="E205" s="34"/>
      <c r="F205" s="34"/>
      <c r="G205" s="34"/>
      <c r="H205" s="36" t="str">
        <f t="shared" si="13"/>
        <v/>
      </c>
      <c r="I205" s="36" t="str">
        <f t="shared" si="14"/>
        <v/>
      </c>
    </row>
  </sheetData>
  <dataValidations count="2">
    <dataValidation type="decimal" operator="greaterThanOrEqual" allowBlank="1" error="Enter a number &gt;= 0" sqref="E6:G205" xr:uid="{00000000-0002-0000-0800-000000000000}">
      <formula1>0</formula1>
      <formula2>0</formula2>
    </dataValidation>
    <dataValidation type="whole" allowBlank="1" sqref="A6:A205" xr:uid="{00000000-0002-0000-0800-000003000000}">
      <formula1>1</formula1>
      <formula2>52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800-000001000000}">
          <x14:formula1>
            <xm:f>Settings!$J$4:$J$13</xm:f>
          </x14:formula1>
          <x14:formula2>
            <xm:f>0</xm:f>
          </x14:formula2>
          <xm:sqref>C6:C205</xm:sqref>
        </x14:dataValidation>
        <x14:dataValidation type="list" allowBlank="1" xr:uid="{00000000-0002-0000-0800-000002000000}">
          <x14:formula1>
            <xm:f>Settings!$H$4:$H$7</xm:f>
          </x14:formula1>
          <x14:formula2>
            <xm:f>0</xm:f>
          </x14:formula2>
          <xm:sqref>D6:D205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A259"/>
  </sheetPr>
  <dimension ref="A1:P10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9" customWidth="1"/>
    <col min="2" max="2" width="10" customWidth="1"/>
    <col min="3" max="3" width="22" customWidth="1"/>
    <col min="4" max="6" width="13" customWidth="1"/>
    <col min="7" max="7" width="3" customWidth="1"/>
    <col min="8" max="8" width="9" customWidth="1"/>
    <col min="9" max="9" width="24" customWidth="1"/>
    <col min="10" max="10" width="13" customWidth="1"/>
    <col min="11" max="11" width="3" customWidth="1"/>
    <col min="12" max="12" width="24" customWidth="1"/>
    <col min="13" max="13" width="13" customWidth="1"/>
    <col min="14" max="14" width="11" customWidth="1"/>
    <col min="15" max="15" width="13" customWidth="1"/>
    <col min="16" max="16" width="14" customWidth="1"/>
  </cols>
  <sheetData>
    <row r="1" spans="1:16" ht="18" x14ac:dyDescent="0.4">
      <c r="A1" s="8" t="s">
        <v>200</v>
      </c>
    </row>
    <row r="2" spans="1:16" x14ac:dyDescent="0.35">
      <c r="A2" s="9" t="s">
        <v>201</v>
      </c>
    </row>
    <row r="3" spans="1:16" x14ac:dyDescent="0.35">
      <c r="A3" s="31" t="s">
        <v>120</v>
      </c>
    </row>
    <row r="4" spans="1:16" x14ac:dyDescent="0.35">
      <c r="H4" s="39" t="s">
        <v>202</v>
      </c>
      <c r="L4" s="39" t="s">
        <v>203</v>
      </c>
    </row>
    <row r="5" spans="1:16" ht="48" customHeight="1" x14ac:dyDescent="0.35">
      <c r="A5" s="19" t="s">
        <v>106</v>
      </c>
      <c r="B5" s="19" t="s">
        <v>107</v>
      </c>
      <c r="C5" s="19" t="s">
        <v>204</v>
      </c>
      <c r="D5" s="19" t="s">
        <v>205</v>
      </c>
      <c r="E5" s="19" t="s">
        <v>206</v>
      </c>
      <c r="F5" s="19" t="s">
        <v>207</v>
      </c>
      <c r="H5" s="19" t="s">
        <v>106</v>
      </c>
      <c r="I5" s="19" t="s">
        <v>208</v>
      </c>
      <c r="J5" s="19" t="s">
        <v>209</v>
      </c>
      <c r="L5" s="19" t="s">
        <v>204</v>
      </c>
      <c r="M5" s="19" t="s">
        <v>210</v>
      </c>
      <c r="N5" s="19" t="s">
        <v>211</v>
      </c>
      <c r="O5" s="19" t="s">
        <v>212</v>
      </c>
      <c r="P5" s="19" t="s">
        <v>207</v>
      </c>
    </row>
    <row r="6" spans="1:16" x14ac:dyDescent="0.35">
      <c r="A6" s="34">
        <v>1</v>
      </c>
      <c r="B6" s="33">
        <f>IF($A6="","",EDATE(Settings!$B$4,$A6-1))</f>
        <v>46327</v>
      </c>
      <c r="C6" s="38" t="s">
        <v>213</v>
      </c>
      <c r="D6" s="34">
        <v>120</v>
      </c>
      <c r="E6" s="34">
        <v>4</v>
      </c>
      <c r="F6" s="36">
        <f t="shared" ref="F6:F37" si="0">IF(N(D6)&gt;0,E6/D6,"")</f>
        <v>3.3333333333333333E-2</v>
      </c>
      <c r="H6" s="43">
        <v>1</v>
      </c>
      <c r="I6" s="14" t="s">
        <v>214</v>
      </c>
      <c r="J6" s="34">
        <v>18</v>
      </c>
      <c r="L6" s="41" t="str">
        <f>Settings!$E$4</f>
        <v>Pill</v>
      </c>
      <c r="M6" s="35">
        <f t="shared" ref="M6:M12" si="1">SUMIFS($D$6:$D$105,$C$6:$C$105,$L6)</f>
        <v>0</v>
      </c>
      <c r="N6" s="36">
        <f t="shared" ref="N6:N12" si="2">IF($M$13&gt;0,M6/$M$13,"")</f>
        <v>0</v>
      </c>
      <c r="O6" s="35">
        <f t="shared" ref="O6:O12" si="3">SUMIFS($E$6:$E$105,$C$6:$C$105,$L6)</f>
        <v>0</v>
      </c>
      <c r="P6" s="36" t="str">
        <f t="shared" ref="P6:P13" si="4">IF(M6&gt;0,O6/M6,"")</f>
        <v/>
      </c>
    </row>
    <row r="7" spans="1:16" x14ac:dyDescent="0.35">
      <c r="A7" s="34"/>
      <c r="B7" s="33" t="str">
        <f>IF($A7="","",EDATE(Settings!$B$4,$A7-1))</f>
        <v/>
      </c>
      <c r="C7" s="38"/>
      <c r="D7" s="34"/>
      <c r="E7" s="34"/>
      <c r="F7" s="36" t="str">
        <f t="shared" si="0"/>
        <v/>
      </c>
      <c r="H7" s="43"/>
      <c r="I7" s="14"/>
      <c r="J7" s="34"/>
      <c r="L7" s="41" t="str">
        <f>Settings!$E$5</f>
        <v>Injectable</v>
      </c>
      <c r="M7" s="35">
        <f t="shared" si="1"/>
        <v>120</v>
      </c>
      <c r="N7" s="36">
        <f t="shared" si="2"/>
        <v>1</v>
      </c>
      <c r="O7" s="35">
        <f t="shared" si="3"/>
        <v>4</v>
      </c>
      <c r="P7" s="36">
        <f t="shared" si="4"/>
        <v>3.3333333333333333E-2</v>
      </c>
    </row>
    <row r="8" spans="1:16" x14ac:dyDescent="0.35">
      <c r="A8" s="34"/>
      <c r="B8" s="33" t="str">
        <f>IF($A8="","",EDATE(Settings!$B$4,$A8-1))</f>
        <v/>
      </c>
      <c r="C8" s="38"/>
      <c r="D8" s="34"/>
      <c r="E8" s="34"/>
      <c r="F8" s="36" t="str">
        <f t="shared" si="0"/>
        <v/>
      </c>
      <c r="H8" s="43"/>
      <c r="I8" s="14"/>
      <c r="J8" s="34"/>
      <c r="L8" s="41" t="str">
        <f>Settings!$E$6</f>
        <v>Implant</v>
      </c>
      <c r="M8" s="35">
        <f t="shared" si="1"/>
        <v>0</v>
      </c>
      <c r="N8" s="36">
        <f t="shared" si="2"/>
        <v>0</v>
      </c>
      <c r="O8" s="35">
        <f t="shared" si="3"/>
        <v>0</v>
      </c>
      <c r="P8" s="36" t="str">
        <f t="shared" si="4"/>
        <v/>
      </c>
    </row>
    <row r="9" spans="1:16" x14ac:dyDescent="0.35">
      <c r="A9" s="34"/>
      <c r="B9" s="33" t="str">
        <f>IF($A9="","",EDATE(Settings!$B$4,$A9-1))</f>
        <v/>
      </c>
      <c r="C9" s="38"/>
      <c r="D9" s="34"/>
      <c r="E9" s="34"/>
      <c r="F9" s="36" t="str">
        <f t="shared" si="0"/>
        <v/>
      </c>
      <c r="H9" s="43"/>
      <c r="I9" s="14"/>
      <c r="J9" s="34"/>
      <c r="L9" s="41" t="str">
        <f>Settings!$E$7</f>
        <v>IUD</v>
      </c>
      <c r="M9" s="35">
        <f t="shared" si="1"/>
        <v>0</v>
      </c>
      <c r="N9" s="36">
        <f t="shared" si="2"/>
        <v>0</v>
      </c>
      <c r="O9" s="35">
        <f t="shared" si="3"/>
        <v>0</v>
      </c>
      <c r="P9" s="36" t="str">
        <f t="shared" si="4"/>
        <v/>
      </c>
    </row>
    <row r="10" spans="1:16" x14ac:dyDescent="0.35">
      <c r="A10" s="34"/>
      <c r="B10" s="33" t="str">
        <f>IF($A10="","",EDATE(Settings!$B$4,$A10-1))</f>
        <v/>
      </c>
      <c r="C10" s="38"/>
      <c r="D10" s="34"/>
      <c r="E10" s="34"/>
      <c r="F10" s="36" t="str">
        <f t="shared" si="0"/>
        <v/>
      </c>
      <c r="H10" s="43"/>
      <c r="I10" s="14"/>
      <c r="J10" s="34"/>
      <c r="L10" s="41" t="str">
        <f>Settings!$E$8</f>
        <v>Condom</v>
      </c>
      <c r="M10" s="35">
        <f t="shared" si="1"/>
        <v>0</v>
      </c>
      <c r="N10" s="36">
        <f t="shared" si="2"/>
        <v>0</v>
      </c>
      <c r="O10" s="35">
        <f t="shared" si="3"/>
        <v>0</v>
      </c>
      <c r="P10" s="36" t="str">
        <f t="shared" si="4"/>
        <v/>
      </c>
    </row>
    <row r="11" spans="1:16" x14ac:dyDescent="0.35">
      <c r="A11" s="34"/>
      <c r="B11" s="33" t="str">
        <f>IF($A11="","",EDATE(Settings!$B$4,$A11-1))</f>
        <v/>
      </c>
      <c r="C11" s="38"/>
      <c r="D11" s="34"/>
      <c r="E11" s="34"/>
      <c r="F11" s="36" t="str">
        <f t="shared" si="0"/>
        <v/>
      </c>
      <c r="H11" s="43"/>
      <c r="I11" s="14"/>
      <c r="J11" s="34"/>
      <c r="L11" s="41" t="str">
        <f>Settings!$E$9</f>
        <v>Emergency contraception</v>
      </c>
      <c r="M11" s="35">
        <f t="shared" si="1"/>
        <v>0</v>
      </c>
      <c r="N11" s="36">
        <f t="shared" si="2"/>
        <v>0</v>
      </c>
      <c r="O11" s="35">
        <f t="shared" si="3"/>
        <v>0</v>
      </c>
      <c r="P11" s="36" t="str">
        <f t="shared" si="4"/>
        <v/>
      </c>
    </row>
    <row r="12" spans="1:16" x14ac:dyDescent="0.35">
      <c r="A12" s="34"/>
      <c r="B12" s="33" t="str">
        <f>IF($A12="","",EDATE(Settings!$B$4,$A12-1))</f>
        <v/>
      </c>
      <c r="C12" s="38"/>
      <c r="D12" s="34"/>
      <c r="E12" s="34"/>
      <c r="F12" s="36" t="str">
        <f t="shared" si="0"/>
        <v/>
      </c>
      <c r="H12" s="43"/>
      <c r="I12" s="14"/>
      <c r="J12" s="34"/>
      <c r="L12" s="41" t="str">
        <f>Settings!$E$10</f>
        <v>Other</v>
      </c>
      <c r="M12" s="35">
        <f t="shared" si="1"/>
        <v>0</v>
      </c>
      <c r="N12" s="36">
        <f t="shared" si="2"/>
        <v>0</v>
      </c>
      <c r="O12" s="35">
        <f t="shared" si="3"/>
        <v>0</v>
      </c>
      <c r="P12" s="36" t="str">
        <f t="shared" si="4"/>
        <v/>
      </c>
    </row>
    <row r="13" spans="1:16" x14ac:dyDescent="0.35">
      <c r="A13" s="34"/>
      <c r="B13" s="33" t="str">
        <f>IF($A13="","",EDATE(Settings!$B$4,$A13-1))</f>
        <v/>
      </c>
      <c r="C13" s="38"/>
      <c r="D13" s="34"/>
      <c r="E13" s="34"/>
      <c r="F13" s="36" t="str">
        <f t="shared" si="0"/>
        <v/>
      </c>
      <c r="H13" s="43"/>
      <c r="I13" s="14"/>
      <c r="J13" s="34"/>
      <c r="L13" s="41" t="s">
        <v>215</v>
      </c>
      <c r="M13" s="44">
        <f>SUM(M6:M12)</f>
        <v>120</v>
      </c>
      <c r="N13" s="45">
        <f>IF(M13&gt;0,1,"")</f>
        <v>1</v>
      </c>
      <c r="O13" s="44">
        <f>SUM(O6:O12)</f>
        <v>4</v>
      </c>
      <c r="P13" s="45">
        <f t="shared" si="4"/>
        <v>3.3333333333333333E-2</v>
      </c>
    </row>
    <row r="14" spans="1:16" x14ac:dyDescent="0.35">
      <c r="A14" s="34"/>
      <c r="B14" s="33" t="str">
        <f>IF($A14="","",EDATE(Settings!$B$4,$A14-1))</f>
        <v/>
      </c>
      <c r="C14" s="38"/>
      <c r="D14" s="34"/>
      <c r="E14" s="34"/>
      <c r="F14" s="36" t="str">
        <f t="shared" si="0"/>
        <v/>
      </c>
      <c r="H14" s="43"/>
      <c r="I14" s="14"/>
      <c r="J14" s="34"/>
    </row>
    <row r="15" spans="1:16" x14ac:dyDescent="0.35">
      <c r="A15" s="34"/>
      <c r="B15" s="33" t="str">
        <f>IF($A15="","",EDATE(Settings!$B$4,$A15-1))</f>
        <v/>
      </c>
      <c r="C15" s="38"/>
      <c r="D15" s="34"/>
      <c r="E15" s="34"/>
      <c r="F15" s="36" t="str">
        <f t="shared" si="0"/>
        <v/>
      </c>
      <c r="H15" s="43"/>
      <c r="I15" s="14"/>
      <c r="J15" s="34"/>
      <c r="L15" s="39" t="s">
        <v>216</v>
      </c>
    </row>
    <row r="16" spans="1:16" ht="26" x14ac:dyDescent="0.35">
      <c r="A16" s="34"/>
      <c r="B16" s="33" t="str">
        <f>IF($A16="","",EDATE(Settings!$B$4,$A16-1))</f>
        <v/>
      </c>
      <c r="C16" s="38"/>
      <c r="D16" s="34"/>
      <c r="E16" s="34"/>
      <c r="F16" s="36" t="str">
        <f t="shared" si="0"/>
        <v/>
      </c>
      <c r="H16" s="43"/>
      <c r="I16" s="14"/>
      <c r="J16" s="34"/>
      <c r="L16" s="19" t="s">
        <v>208</v>
      </c>
      <c r="M16" s="19" t="s">
        <v>217</v>
      </c>
      <c r="N16" s="19" t="s">
        <v>218</v>
      </c>
    </row>
    <row r="17" spans="1:14" x14ac:dyDescent="0.35">
      <c r="A17" s="34"/>
      <c r="B17" s="33" t="str">
        <f>IF($A17="","",EDATE(Settings!$B$4,$A17-1))</f>
        <v/>
      </c>
      <c r="C17" s="38"/>
      <c r="D17" s="34"/>
      <c r="E17" s="34"/>
      <c r="F17" s="36" t="str">
        <f t="shared" si="0"/>
        <v/>
      </c>
      <c r="H17" s="43"/>
      <c r="I17" s="14"/>
      <c r="J17" s="34"/>
      <c r="L17" s="41" t="str">
        <f>Settings!$I$4</f>
        <v>Fear of side effects</v>
      </c>
      <c r="M17" s="35">
        <f t="shared" ref="M17:M22" si="5">SUMIFS($J$6:$J$105,$I$6:$I$105,$L17)</f>
        <v>18</v>
      </c>
      <c r="N17" s="36">
        <f t="shared" ref="N17:N22" si="6">IF(SUM($M$17:$M$22)&gt;0,M17/SUM($M$17:$M$22),"")</f>
        <v>1</v>
      </c>
    </row>
    <row r="18" spans="1:14" x14ac:dyDescent="0.35">
      <c r="A18" s="34"/>
      <c r="B18" s="33" t="str">
        <f>IF($A18="","",EDATE(Settings!$B$4,$A18-1))</f>
        <v/>
      </c>
      <c r="C18" s="38"/>
      <c r="D18" s="34"/>
      <c r="E18" s="34"/>
      <c r="F18" s="36" t="str">
        <f t="shared" si="0"/>
        <v/>
      </c>
      <c r="H18" s="43"/>
      <c r="I18" s="14"/>
      <c r="J18" s="34"/>
      <c r="L18" s="41" t="str">
        <f>Settings!$I$5</f>
        <v>Partner opposition</v>
      </c>
      <c r="M18" s="35">
        <f t="shared" si="5"/>
        <v>0</v>
      </c>
      <c r="N18" s="36">
        <f t="shared" si="6"/>
        <v>0</v>
      </c>
    </row>
    <row r="19" spans="1:14" x14ac:dyDescent="0.35">
      <c r="A19" s="34"/>
      <c r="B19" s="33" t="str">
        <f>IF($A19="","",EDATE(Settings!$B$4,$A19-1))</f>
        <v/>
      </c>
      <c r="C19" s="38"/>
      <c r="D19" s="34"/>
      <c r="E19" s="34"/>
      <c r="F19" s="36" t="str">
        <f t="shared" si="0"/>
        <v/>
      </c>
      <c r="H19" s="43"/>
      <c r="I19" s="14"/>
      <c r="J19" s="34"/>
      <c r="L19" s="41" t="str">
        <f>Settings!$I$6</f>
        <v>Method not available</v>
      </c>
      <c r="M19" s="35">
        <f t="shared" si="5"/>
        <v>0</v>
      </c>
      <c r="N19" s="36">
        <f t="shared" si="6"/>
        <v>0</v>
      </c>
    </row>
    <row r="20" spans="1:14" x14ac:dyDescent="0.35">
      <c r="A20" s="34"/>
      <c r="B20" s="33" t="str">
        <f>IF($A20="","",EDATE(Settings!$B$4,$A20-1))</f>
        <v/>
      </c>
      <c r="C20" s="38"/>
      <c r="D20" s="34"/>
      <c r="E20" s="34"/>
      <c r="F20" s="36" t="str">
        <f t="shared" si="0"/>
        <v/>
      </c>
      <c r="H20" s="43"/>
      <c r="I20" s="14"/>
      <c r="J20" s="34"/>
      <c r="L20" s="41" t="str">
        <f>Settings!$I$7</f>
        <v>Wants time to think</v>
      </c>
      <c r="M20" s="35">
        <f t="shared" si="5"/>
        <v>0</v>
      </c>
      <c r="N20" s="36">
        <f t="shared" si="6"/>
        <v>0</v>
      </c>
    </row>
    <row r="21" spans="1:14" x14ac:dyDescent="0.35">
      <c r="A21" s="34"/>
      <c r="B21" s="33" t="str">
        <f>IF($A21="","",EDATE(Settings!$B$4,$A21-1))</f>
        <v/>
      </c>
      <c r="C21" s="38"/>
      <c r="D21" s="34"/>
      <c r="E21" s="34"/>
      <c r="F21" s="36" t="str">
        <f t="shared" si="0"/>
        <v/>
      </c>
      <c r="H21" s="43"/>
      <c r="I21" s="14"/>
      <c r="J21" s="34"/>
      <c r="L21" s="41" t="str">
        <f>Settings!$I$8</f>
        <v>Religious / cultural</v>
      </c>
      <c r="M21" s="35">
        <f t="shared" si="5"/>
        <v>0</v>
      </c>
      <c r="N21" s="36">
        <f t="shared" si="6"/>
        <v>0</v>
      </c>
    </row>
    <row r="22" spans="1:14" x14ac:dyDescent="0.35">
      <c r="A22" s="34"/>
      <c r="B22" s="33" t="str">
        <f>IF($A22="","",EDATE(Settings!$B$4,$A22-1))</f>
        <v/>
      </c>
      <c r="C22" s="38"/>
      <c r="D22" s="34"/>
      <c r="E22" s="34"/>
      <c r="F22" s="36" t="str">
        <f t="shared" si="0"/>
        <v/>
      </c>
      <c r="H22" s="43"/>
      <c r="I22" s="14"/>
      <c r="J22" s="34"/>
      <c r="L22" s="41" t="str">
        <f>Settings!$I$9</f>
        <v>Other</v>
      </c>
      <c r="M22" s="35">
        <f t="shared" si="5"/>
        <v>0</v>
      </c>
      <c r="N22" s="36">
        <f t="shared" si="6"/>
        <v>0</v>
      </c>
    </row>
    <row r="23" spans="1:14" x14ac:dyDescent="0.35">
      <c r="A23" s="34"/>
      <c r="B23" s="33" t="str">
        <f>IF($A23="","",EDATE(Settings!$B$4,$A23-1))</f>
        <v/>
      </c>
      <c r="C23" s="38"/>
      <c r="D23" s="34"/>
      <c r="E23" s="34"/>
      <c r="F23" s="36" t="str">
        <f t="shared" si="0"/>
        <v/>
      </c>
      <c r="H23" s="43"/>
      <c r="I23" s="14"/>
      <c r="J23" s="34"/>
    </row>
    <row r="24" spans="1:14" x14ac:dyDescent="0.35">
      <c r="A24" s="34"/>
      <c r="B24" s="33" t="str">
        <f>IF($A24="","",EDATE(Settings!$B$4,$A24-1))</f>
        <v/>
      </c>
      <c r="C24" s="38"/>
      <c r="D24" s="34"/>
      <c r="E24" s="34"/>
      <c r="F24" s="36" t="str">
        <f t="shared" si="0"/>
        <v/>
      </c>
      <c r="H24" s="43"/>
      <c r="I24" s="14"/>
      <c r="J24" s="34"/>
    </row>
    <row r="25" spans="1:14" x14ac:dyDescent="0.35">
      <c r="A25" s="34"/>
      <c r="B25" s="33" t="str">
        <f>IF($A25="","",EDATE(Settings!$B$4,$A25-1))</f>
        <v/>
      </c>
      <c r="C25" s="38"/>
      <c r="D25" s="34"/>
      <c r="E25" s="34"/>
      <c r="F25" s="36" t="str">
        <f t="shared" si="0"/>
        <v/>
      </c>
      <c r="H25" s="43"/>
      <c r="I25" s="14"/>
      <c r="J25" s="34"/>
    </row>
    <row r="26" spans="1:14" x14ac:dyDescent="0.35">
      <c r="A26" s="34"/>
      <c r="B26" s="33" t="str">
        <f>IF($A26="","",EDATE(Settings!$B$4,$A26-1))</f>
        <v/>
      </c>
      <c r="C26" s="38"/>
      <c r="D26" s="34"/>
      <c r="E26" s="34"/>
      <c r="F26" s="36" t="str">
        <f t="shared" si="0"/>
        <v/>
      </c>
      <c r="H26" s="43"/>
      <c r="I26" s="14"/>
      <c r="J26" s="34"/>
    </row>
    <row r="27" spans="1:14" x14ac:dyDescent="0.35">
      <c r="A27" s="34"/>
      <c r="B27" s="33" t="str">
        <f>IF($A27="","",EDATE(Settings!$B$4,$A27-1))</f>
        <v/>
      </c>
      <c r="C27" s="38"/>
      <c r="D27" s="34"/>
      <c r="E27" s="34"/>
      <c r="F27" s="36" t="str">
        <f t="shared" si="0"/>
        <v/>
      </c>
      <c r="H27" s="43"/>
      <c r="I27" s="14"/>
      <c r="J27" s="34"/>
    </row>
    <row r="28" spans="1:14" x14ac:dyDescent="0.35">
      <c r="A28" s="34"/>
      <c r="B28" s="33" t="str">
        <f>IF($A28="","",EDATE(Settings!$B$4,$A28-1))</f>
        <v/>
      </c>
      <c r="C28" s="38"/>
      <c r="D28" s="34"/>
      <c r="E28" s="34"/>
      <c r="F28" s="36" t="str">
        <f t="shared" si="0"/>
        <v/>
      </c>
      <c r="H28" s="43"/>
      <c r="I28" s="14"/>
      <c r="J28" s="34"/>
    </row>
    <row r="29" spans="1:14" x14ac:dyDescent="0.35">
      <c r="A29" s="34"/>
      <c r="B29" s="33" t="str">
        <f>IF($A29="","",EDATE(Settings!$B$4,$A29-1))</f>
        <v/>
      </c>
      <c r="C29" s="38"/>
      <c r="D29" s="34"/>
      <c r="E29" s="34"/>
      <c r="F29" s="36" t="str">
        <f t="shared" si="0"/>
        <v/>
      </c>
      <c r="H29" s="43"/>
      <c r="I29" s="14"/>
      <c r="J29" s="34"/>
    </row>
    <row r="30" spans="1:14" x14ac:dyDescent="0.35">
      <c r="A30" s="34"/>
      <c r="B30" s="33" t="str">
        <f>IF($A30="","",EDATE(Settings!$B$4,$A30-1))</f>
        <v/>
      </c>
      <c r="C30" s="38"/>
      <c r="D30" s="34"/>
      <c r="E30" s="34"/>
      <c r="F30" s="36" t="str">
        <f t="shared" si="0"/>
        <v/>
      </c>
      <c r="H30" s="43"/>
      <c r="I30" s="14"/>
      <c r="J30" s="34"/>
    </row>
    <row r="31" spans="1:14" x14ac:dyDescent="0.35">
      <c r="A31" s="34"/>
      <c r="B31" s="33" t="str">
        <f>IF($A31="","",EDATE(Settings!$B$4,$A31-1))</f>
        <v/>
      </c>
      <c r="C31" s="38"/>
      <c r="D31" s="34"/>
      <c r="E31" s="34"/>
      <c r="F31" s="36" t="str">
        <f t="shared" si="0"/>
        <v/>
      </c>
      <c r="H31" s="43"/>
      <c r="I31" s="14"/>
      <c r="J31" s="34"/>
    </row>
    <row r="32" spans="1:14" x14ac:dyDescent="0.35">
      <c r="A32" s="34"/>
      <c r="B32" s="33" t="str">
        <f>IF($A32="","",EDATE(Settings!$B$4,$A32-1))</f>
        <v/>
      </c>
      <c r="C32" s="38"/>
      <c r="D32" s="34"/>
      <c r="E32" s="34"/>
      <c r="F32" s="36" t="str">
        <f t="shared" si="0"/>
        <v/>
      </c>
      <c r="H32" s="43"/>
      <c r="I32" s="14"/>
      <c r="J32" s="34"/>
    </row>
    <row r="33" spans="1:10" x14ac:dyDescent="0.35">
      <c r="A33" s="34"/>
      <c r="B33" s="33" t="str">
        <f>IF($A33="","",EDATE(Settings!$B$4,$A33-1))</f>
        <v/>
      </c>
      <c r="C33" s="38"/>
      <c r="D33" s="34"/>
      <c r="E33" s="34"/>
      <c r="F33" s="36" t="str">
        <f t="shared" si="0"/>
        <v/>
      </c>
      <c r="H33" s="43"/>
      <c r="I33" s="14"/>
      <c r="J33" s="34"/>
    </row>
    <row r="34" spans="1:10" x14ac:dyDescent="0.35">
      <c r="A34" s="34"/>
      <c r="B34" s="33" t="str">
        <f>IF($A34="","",EDATE(Settings!$B$4,$A34-1))</f>
        <v/>
      </c>
      <c r="C34" s="38"/>
      <c r="D34" s="34"/>
      <c r="E34" s="34"/>
      <c r="F34" s="36" t="str">
        <f t="shared" si="0"/>
        <v/>
      </c>
      <c r="H34" s="43"/>
      <c r="I34" s="14"/>
      <c r="J34" s="34"/>
    </row>
    <row r="35" spans="1:10" x14ac:dyDescent="0.35">
      <c r="A35" s="34"/>
      <c r="B35" s="33" t="str">
        <f>IF($A35="","",EDATE(Settings!$B$4,$A35-1))</f>
        <v/>
      </c>
      <c r="C35" s="38"/>
      <c r="D35" s="34"/>
      <c r="E35" s="34"/>
      <c r="F35" s="36" t="str">
        <f t="shared" si="0"/>
        <v/>
      </c>
      <c r="H35" s="43"/>
      <c r="I35" s="14"/>
      <c r="J35" s="34"/>
    </row>
    <row r="36" spans="1:10" x14ac:dyDescent="0.35">
      <c r="A36" s="34"/>
      <c r="B36" s="33" t="str">
        <f>IF($A36="","",EDATE(Settings!$B$4,$A36-1))</f>
        <v/>
      </c>
      <c r="C36" s="38"/>
      <c r="D36" s="34"/>
      <c r="E36" s="34"/>
      <c r="F36" s="36" t="str">
        <f t="shared" si="0"/>
        <v/>
      </c>
      <c r="H36" s="43"/>
      <c r="I36" s="14"/>
      <c r="J36" s="34"/>
    </row>
    <row r="37" spans="1:10" x14ac:dyDescent="0.35">
      <c r="A37" s="34"/>
      <c r="B37" s="33" t="str">
        <f>IF($A37="","",EDATE(Settings!$B$4,$A37-1))</f>
        <v/>
      </c>
      <c r="C37" s="38"/>
      <c r="D37" s="34"/>
      <c r="E37" s="34"/>
      <c r="F37" s="36" t="str">
        <f t="shared" si="0"/>
        <v/>
      </c>
      <c r="H37" s="43"/>
      <c r="I37" s="14"/>
      <c r="J37" s="34"/>
    </row>
    <row r="38" spans="1:10" x14ac:dyDescent="0.35">
      <c r="A38" s="34"/>
      <c r="B38" s="33" t="str">
        <f>IF($A38="","",EDATE(Settings!$B$4,$A38-1))</f>
        <v/>
      </c>
      <c r="C38" s="38"/>
      <c r="D38" s="34"/>
      <c r="E38" s="34"/>
      <c r="F38" s="36" t="str">
        <f t="shared" ref="F38:F69" si="7">IF(N(D38)&gt;0,E38/D38,"")</f>
        <v/>
      </c>
      <c r="H38" s="43"/>
      <c r="I38" s="14"/>
      <c r="J38" s="34"/>
    </row>
    <row r="39" spans="1:10" x14ac:dyDescent="0.35">
      <c r="A39" s="34"/>
      <c r="B39" s="33" t="str">
        <f>IF($A39="","",EDATE(Settings!$B$4,$A39-1))</f>
        <v/>
      </c>
      <c r="C39" s="38"/>
      <c r="D39" s="34"/>
      <c r="E39" s="34"/>
      <c r="F39" s="36" t="str">
        <f t="shared" si="7"/>
        <v/>
      </c>
      <c r="H39" s="43"/>
      <c r="I39" s="14"/>
      <c r="J39" s="34"/>
    </row>
    <row r="40" spans="1:10" x14ac:dyDescent="0.35">
      <c r="A40" s="34"/>
      <c r="B40" s="33" t="str">
        <f>IF($A40="","",EDATE(Settings!$B$4,$A40-1))</f>
        <v/>
      </c>
      <c r="C40" s="38"/>
      <c r="D40" s="34"/>
      <c r="E40" s="34"/>
      <c r="F40" s="36" t="str">
        <f t="shared" si="7"/>
        <v/>
      </c>
      <c r="H40" s="43"/>
      <c r="I40" s="14"/>
      <c r="J40" s="34"/>
    </row>
    <row r="41" spans="1:10" x14ac:dyDescent="0.35">
      <c r="A41" s="34"/>
      <c r="B41" s="33" t="str">
        <f>IF($A41="","",EDATE(Settings!$B$4,$A41-1))</f>
        <v/>
      </c>
      <c r="C41" s="38"/>
      <c r="D41" s="34"/>
      <c r="E41" s="34"/>
      <c r="F41" s="36" t="str">
        <f t="shared" si="7"/>
        <v/>
      </c>
      <c r="H41" s="43"/>
      <c r="I41" s="14"/>
      <c r="J41" s="34"/>
    </row>
    <row r="42" spans="1:10" x14ac:dyDescent="0.35">
      <c r="A42" s="34"/>
      <c r="B42" s="33" t="str">
        <f>IF($A42="","",EDATE(Settings!$B$4,$A42-1))</f>
        <v/>
      </c>
      <c r="C42" s="38"/>
      <c r="D42" s="34"/>
      <c r="E42" s="34"/>
      <c r="F42" s="36" t="str">
        <f t="shared" si="7"/>
        <v/>
      </c>
      <c r="H42" s="43"/>
      <c r="I42" s="14"/>
      <c r="J42" s="34"/>
    </row>
    <row r="43" spans="1:10" x14ac:dyDescent="0.35">
      <c r="A43" s="34"/>
      <c r="B43" s="33" t="str">
        <f>IF($A43="","",EDATE(Settings!$B$4,$A43-1))</f>
        <v/>
      </c>
      <c r="C43" s="38"/>
      <c r="D43" s="34"/>
      <c r="E43" s="34"/>
      <c r="F43" s="36" t="str">
        <f t="shared" si="7"/>
        <v/>
      </c>
      <c r="H43" s="43"/>
      <c r="I43" s="14"/>
      <c r="J43" s="34"/>
    </row>
    <row r="44" spans="1:10" x14ac:dyDescent="0.35">
      <c r="A44" s="34"/>
      <c r="B44" s="33" t="str">
        <f>IF($A44="","",EDATE(Settings!$B$4,$A44-1))</f>
        <v/>
      </c>
      <c r="C44" s="38"/>
      <c r="D44" s="34"/>
      <c r="E44" s="34"/>
      <c r="F44" s="36" t="str">
        <f t="shared" si="7"/>
        <v/>
      </c>
      <c r="H44" s="43"/>
      <c r="I44" s="14"/>
      <c r="J44" s="34"/>
    </row>
    <row r="45" spans="1:10" x14ac:dyDescent="0.35">
      <c r="A45" s="34"/>
      <c r="B45" s="33" t="str">
        <f>IF($A45="","",EDATE(Settings!$B$4,$A45-1))</f>
        <v/>
      </c>
      <c r="C45" s="38"/>
      <c r="D45" s="34"/>
      <c r="E45" s="34"/>
      <c r="F45" s="36" t="str">
        <f t="shared" si="7"/>
        <v/>
      </c>
      <c r="H45" s="43"/>
      <c r="I45" s="14"/>
      <c r="J45" s="34"/>
    </row>
    <row r="46" spans="1:10" x14ac:dyDescent="0.35">
      <c r="A46" s="34"/>
      <c r="B46" s="33" t="str">
        <f>IF($A46="","",EDATE(Settings!$B$4,$A46-1))</f>
        <v/>
      </c>
      <c r="C46" s="38"/>
      <c r="D46" s="34"/>
      <c r="E46" s="34"/>
      <c r="F46" s="36" t="str">
        <f t="shared" si="7"/>
        <v/>
      </c>
      <c r="H46" s="43"/>
      <c r="I46" s="14"/>
      <c r="J46" s="34"/>
    </row>
    <row r="47" spans="1:10" x14ac:dyDescent="0.35">
      <c r="A47" s="34"/>
      <c r="B47" s="33" t="str">
        <f>IF($A47="","",EDATE(Settings!$B$4,$A47-1))</f>
        <v/>
      </c>
      <c r="C47" s="38"/>
      <c r="D47" s="34"/>
      <c r="E47" s="34"/>
      <c r="F47" s="36" t="str">
        <f t="shared" si="7"/>
        <v/>
      </c>
      <c r="H47" s="43"/>
      <c r="I47" s="14"/>
      <c r="J47" s="34"/>
    </row>
    <row r="48" spans="1:10" x14ac:dyDescent="0.35">
      <c r="A48" s="34"/>
      <c r="B48" s="33" t="str">
        <f>IF($A48="","",EDATE(Settings!$B$4,$A48-1))</f>
        <v/>
      </c>
      <c r="C48" s="38"/>
      <c r="D48" s="34"/>
      <c r="E48" s="34"/>
      <c r="F48" s="36" t="str">
        <f t="shared" si="7"/>
        <v/>
      </c>
      <c r="H48" s="43"/>
      <c r="I48" s="14"/>
      <c r="J48" s="34"/>
    </row>
    <row r="49" spans="1:10" x14ac:dyDescent="0.35">
      <c r="A49" s="34"/>
      <c r="B49" s="33" t="str">
        <f>IF($A49="","",EDATE(Settings!$B$4,$A49-1))</f>
        <v/>
      </c>
      <c r="C49" s="38"/>
      <c r="D49" s="34"/>
      <c r="E49" s="34"/>
      <c r="F49" s="36" t="str">
        <f t="shared" si="7"/>
        <v/>
      </c>
      <c r="H49" s="43"/>
      <c r="I49" s="14"/>
      <c r="J49" s="34"/>
    </row>
    <row r="50" spans="1:10" x14ac:dyDescent="0.35">
      <c r="A50" s="34"/>
      <c r="B50" s="33" t="str">
        <f>IF($A50="","",EDATE(Settings!$B$4,$A50-1))</f>
        <v/>
      </c>
      <c r="C50" s="38"/>
      <c r="D50" s="34"/>
      <c r="E50" s="34"/>
      <c r="F50" s="36" t="str">
        <f t="shared" si="7"/>
        <v/>
      </c>
      <c r="H50" s="43"/>
      <c r="I50" s="14"/>
      <c r="J50" s="34"/>
    </row>
    <row r="51" spans="1:10" x14ac:dyDescent="0.35">
      <c r="A51" s="34"/>
      <c r="B51" s="33" t="str">
        <f>IF($A51="","",EDATE(Settings!$B$4,$A51-1))</f>
        <v/>
      </c>
      <c r="C51" s="38"/>
      <c r="D51" s="34"/>
      <c r="E51" s="34"/>
      <c r="F51" s="36" t="str">
        <f t="shared" si="7"/>
        <v/>
      </c>
      <c r="H51" s="43"/>
      <c r="I51" s="14"/>
      <c r="J51" s="34"/>
    </row>
    <row r="52" spans="1:10" x14ac:dyDescent="0.35">
      <c r="A52" s="34"/>
      <c r="B52" s="33" t="str">
        <f>IF($A52="","",EDATE(Settings!$B$4,$A52-1))</f>
        <v/>
      </c>
      <c r="C52" s="38"/>
      <c r="D52" s="34"/>
      <c r="E52" s="34"/>
      <c r="F52" s="36" t="str">
        <f t="shared" si="7"/>
        <v/>
      </c>
      <c r="H52" s="43"/>
      <c r="I52" s="14"/>
      <c r="J52" s="34"/>
    </row>
    <row r="53" spans="1:10" x14ac:dyDescent="0.35">
      <c r="A53" s="34"/>
      <c r="B53" s="33" t="str">
        <f>IF($A53="","",EDATE(Settings!$B$4,$A53-1))</f>
        <v/>
      </c>
      <c r="C53" s="38"/>
      <c r="D53" s="34"/>
      <c r="E53" s="34"/>
      <c r="F53" s="36" t="str">
        <f t="shared" si="7"/>
        <v/>
      </c>
      <c r="H53" s="43"/>
      <c r="I53" s="14"/>
      <c r="J53" s="34"/>
    </row>
    <row r="54" spans="1:10" x14ac:dyDescent="0.35">
      <c r="A54" s="34"/>
      <c r="B54" s="33" t="str">
        <f>IF($A54="","",EDATE(Settings!$B$4,$A54-1))</f>
        <v/>
      </c>
      <c r="C54" s="38"/>
      <c r="D54" s="34"/>
      <c r="E54" s="34"/>
      <c r="F54" s="36" t="str">
        <f t="shared" si="7"/>
        <v/>
      </c>
      <c r="H54" s="43"/>
      <c r="I54" s="14"/>
      <c r="J54" s="34"/>
    </row>
    <row r="55" spans="1:10" x14ac:dyDescent="0.35">
      <c r="A55" s="34"/>
      <c r="B55" s="33" t="str">
        <f>IF($A55="","",EDATE(Settings!$B$4,$A55-1))</f>
        <v/>
      </c>
      <c r="C55" s="38"/>
      <c r="D55" s="34"/>
      <c r="E55" s="34"/>
      <c r="F55" s="36" t="str">
        <f t="shared" si="7"/>
        <v/>
      </c>
      <c r="H55" s="43"/>
      <c r="I55" s="14"/>
      <c r="J55" s="34"/>
    </row>
    <row r="56" spans="1:10" x14ac:dyDescent="0.35">
      <c r="A56" s="34"/>
      <c r="B56" s="33" t="str">
        <f>IF($A56="","",EDATE(Settings!$B$4,$A56-1))</f>
        <v/>
      </c>
      <c r="C56" s="38"/>
      <c r="D56" s="34"/>
      <c r="E56" s="34"/>
      <c r="F56" s="36" t="str">
        <f t="shared" si="7"/>
        <v/>
      </c>
      <c r="H56" s="43"/>
      <c r="I56" s="14"/>
      <c r="J56" s="34"/>
    </row>
    <row r="57" spans="1:10" x14ac:dyDescent="0.35">
      <c r="A57" s="34"/>
      <c r="B57" s="33" t="str">
        <f>IF($A57="","",EDATE(Settings!$B$4,$A57-1))</f>
        <v/>
      </c>
      <c r="C57" s="38"/>
      <c r="D57" s="34"/>
      <c r="E57" s="34"/>
      <c r="F57" s="36" t="str">
        <f t="shared" si="7"/>
        <v/>
      </c>
      <c r="H57" s="43"/>
      <c r="I57" s="14"/>
      <c r="J57" s="34"/>
    </row>
    <row r="58" spans="1:10" x14ac:dyDescent="0.35">
      <c r="A58" s="34"/>
      <c r="B58" s="33" t="str">
        <f>IF($A58="","",EDATE(Settings!$B$4,$A58-1))</f>
        <v/>
      </c>
      <c r="C58" s="38"/>
      <c r="D58" s="34"/>
      <c r="E58" s="34"/>
      <c r="F58" s="36" t="str">
        <f t="shared" si="7"/>
        <v/>
      </c>
      <c r="H58" s="43"/>
      <c r="I58" s="14"/>
      <c r="J58" s="34"/>
    </row>
    <row r="59" spans="1:10" x14ac:dyDescent="0.35">
      <c r="A59" s="34"/>
      <c r="B59" s="33" t="str">
        <f>IF($A59="","",EDATE(Settings!$B$4,$A59-1))</f>
        <v/>
      </c>
      <c r="C59" s="38"/>
      <c r="D59" s="34"/>
      <c r="E59" s="34"/>
      <c r="F59" s="36" t="str">
        <f t="shared" si="7"/>
        <v/>
      </c>
      <c r="H59" s="43"/>
      <c r="I59" s="14"/>
      <c r="J59" s="34"/>
    </row>
    <row r="60" spans="1:10" x14ac:dyDescent="0.35">
      <c r="A60" s="34"/>
      <c r="B60" s="33" t="str">
        <f>IF($A60="","",EDATE(Settings!$B$4,$A60-1))</f>
        <v/>
      </c>
      <c r="C60" s="38"/>
      <c r="D60" s="34"/>
      <c r="E60" s="34"/>
      <c r="F60" s="36" t="str">
        <f t="shared" si="7"/>
        <v/>
      </c>
      <c r="H60" s="43"/>
      <c r="I60" s="14"/>
      <c r="J60" s="34"/>
    </row>
    <row r="61" spans="1:10" x14ac:dyDescent="0.35">
      <c r="A61" s="34"/>
      <c r="B61" s="33" t="str">
        <f>IF($A61="","",EDATE(Settings!$B$4,$A61-1))</f>
        <v/>
      </c>
      <c r="C61" s="38"/>
      <c r="D61" s="34"/>
      <c r="E61" s="34"/>
      <c r="F61" s="36" t="str">
        <f t="shared" si="7"/>
        <v/>
      </c>
      <c r="H61" s="43"/>
      <c r="I61" s="14"/>
      <c r="J61" s="34"/>
    </row>
    <row r="62" spans="1:10" x14ac:dyDescent="0.35">
      <c r="A62" s="34"/>
      <c r="B62" s="33" t="str">
        <f>IF($A62="","",EDATE(Settings!$B$4,$A62-1))</f>
        <v/>
      </c>
      <c r="C62" s="38"/>
      <c r="D62" s="34"/>
      <c r="E62" s="34"/>
      <c r="F62" s="36" t="str">
        <f t="shared" si="7"/>
        <v/>
      </c>
      <c r="H62" s="43"/>
      <c r="I62" s="14"/>
      <c r="J62" s="34"/>
    </row>
    <row r="63" spans="1:10" x14ac:dyDescent="0.35">
      <c r="A63" s="34"/>
      <c r="B63" s="33" t="str">
        <f>IF($A63="","",EDATE(Settings!$B$4,$A63-1))</f>
        <v/>
      </c>
      <c r="C63" s="38"/>
      <c r="D63" s="34"/>
      <c r="E63" s="34"/>
      <c r="F63" s="36" t="str">
        <f t="shared" si="7"/>
        <v/>
      </c>
      <c r="H63" s="43"/>
      <c r="I63" s="14"/>
      <c r="J63" s="34"/>
    </row>
    <row r="64" spans="1:10" x14ac:dyDescent="0.35">
      <c r="A64" s="34"/>
      <c r="B64" s="33" t="str">
        <f>IF($A64="","",EDATE(Settings!$B$4,$A64-1))</f>
        <v/>
      </c>
      <c r="C64" s="38"/>
      <c r="D64" s="34"/>
      <c r="E64" s="34"/>
      <c r="F64" s="36" t="str">
        <f t="shared" si="7"/>
        <v/>
      </c>
      <c r="H64" s="43"/>
      <c r="I64" s="14"/>
      <c r="J64" s="34"/>
    </row>
    <row r="65" spans="1:10" x14ac:dyDescent="0.35">
      <c r="A65" s="34"/>
      <c r="B65" s="33" t="str">
        <f>IF($A65="","",EDATE(Settings!$B$4,$A65-1))</f>
        <v/>
      </c>
      <c r="C65" s="38"/>
      <c r="D65" s="34"/>
      <c r="E65" s="34"/>
      <c r="F65" s="36" t="str">
        <f t="shared" si="7"/>
        <v/>
      </c>
      <c r="H65" s="43"/>
      <c r="I65" s="14"/>
      <c r="J65" s="34"/>
    </row>
    <row r="66" spans="1:10" x14ac:dyDescent="0.35">
      <c r="A66" s="34"/>
      <c r="B66" s="33" t="str">
        <f>IF($A66="","",EDATE(Settings!$B$4,$A66-1))</f>
        <v/>
      </c>
      <c r="C66" s="38"/>
      <c r="D66" s="34"/>
      <c r="E66" s="34"/>
      <c r="F66" s="36" t="str">
        <f t="shared" si="7"/>
        <v/>
      </c>
      <c r="H66" s="43"/>
      <c r="I66" s="14"/>
      <c r="J66" s="34"/>
    </row>
    <row r="67" spans="1:10" x14ac:dyDescent="0.35">
      <c r="A67" s="34"/>
      <c r="B67" s="33" t="str">
        <f>IF($A67="","",EDATE(Settings!$B$4,$A67-1))</f>
        <v/>
      </c>
      <c r="C67" s="38"/>
      <c r="D67" s="34"/>
      <c r="E67" s="34"/>
      <c r="F67" s="36" t="str">
        <f t="shared" si="7"/>
        <v/>
      </c>
      <c r="H67" s="43"/>
      <c r="I67" s="14"/>
      <c r="J67" s="34"/>
    </row>
    <row r="68" spans="1:10" x14ac:dyDescent="0.35">
      <c r="A68" s="34"/>
      <c r="B68" s="33" t="str">
        <f>IF($A68="","",EDATE(Settings!$B$4,$A68-1))</f>
        <v/>
      </c>
      <c r="C68" s="38"/>
      <c r="D68" s="34"/>
      <c r="E68" s="34"/>
      <c r="F68" s="36" t="str">
        <f t="shared" si="7"/>
        <v/>
      </c>
      <c r="H68" s="43"/>
      <c r="I68" s="14"/>
      <c r="J68" s="34"/>
    </row>
    <row r="69" spans="1:10" x14ac:dyDescent="0.35">
      <c r="A69" s="34"/>
      <c r="B69" s="33" t="str">
        <f>IF($A69="","",EDATE(Settings!$B$4,$A69-1))</f>
        <v/>
      </c>
      <c r="C69" s="38"/>
      <c r="D69" s="34"/>
      <c r="E69" s="34"/>
      <c r="F69" s="36" t="str">
        <f t="shared" si="7"/>
        <v/>
      </c>
      <c r="H69" s="43"/>
      <c r="I69" s="14"/>
      <c r="J69" s="34"/>
    </row>
    <row r="70" spans="1:10" x14ac:dyDescent="0.35">
      <c r="A70" s="34"/>
      <c r="B70" s="33" t="str">
        <f>IF($A70="","",EDATE(Settings!$B$4,$A70-1))</f>
        <v/>
      </c>
      <c r="C70" s="38"/>
      <c r="D70" s="34"/>
      <c r="E70" s="34"/>
      <c r="F70" s="36" t="str">
        <f t="shared" ref="F70:F101" si="8">IF(N(D70)&gt;0,E70/D70,"")</f>
        <v/>
      </c>
      <c r="H70" s="43"/>
      <c r="I70" s="14"/>
      <c r="J70" s="34"/>
    </row>
    <row r="71" spans="1:10" x14ac:dyDescent="0.35">
      <c r="A71" s="34"/>
      <c r="B71" s="33" t="str">
        <f>IF($A71="","",EDATE(Settings!$B$4,$A71-1))</f>
        <v/>
      </c>
      <c r="C71" s="38"/>
      <c r="D71" s="34"/>
      <c r="E71" s="34"/>
      <c r="F71" s="36" t="str">
        <f t="shared" si="8"/>
        <v/>
      </c>
      <c r="H71" s="43"/>
      <c r="I71" s="14"/>
      <c r="J71" s="34"/>
    </row>
    <row r="72" spans="1:10" x14ac:dyDescent="0.35">
      <c r="A72" s="34"/>
      <c r="B72" s="33" t="str">
        <f>IF($A72="","",EDATE(Settings!$B$4,$A72-1))</f>
        <v/>
      </c>
      <c r="C72" s="38"/>
      <c r="D72" s="34"/>
      <c r="E72" s="34"/>
      <c r="F72" s="36" t="str">
        <f t="shared" si="8"/>
        <v/>
      </c>
      <c r="H72" s="43"/>
      <c r="I72" s="14"/>
      <c r="J72" s="34"/>
    </row>
    <row r="73" spans="1:10" x14ac:dyDescent="0.35">
      <c r="A73" s="34"/>
      <c r="B73" s="33" t="str">
        <f>IF($A73="","",EDATE(Settings!$B$4,$A73-1))</f>
        <v/>
      </c>
      <c r="C73" s="38"/>
      <c r="D73" s="34"/>
      <c r="E73" s="34"/>
      <c r="F73" s="36" t="str">
        <f t="shared" si="8"/>
        <v/>
      </c>
      <c r="H73" s="43"/>
      <c r="I73" s="14"/>
      <c r="J73" s="34"/>
    </row>
    <row r="74" spans="1:10" x14ac:dyDescent="0.35">
      <c r="A74" s="34"/>
      <c r="B74" s="33" t="str">
        <f>IF($A74="","",EDATE(Settings!$B$4,$A74-1))</f>
        <v/>
      </c>
      <c r="C74" s="38"/>
      <c r="D74" s="34"/>
      <c r="E74" s="34"/>
      <c r="F74" s="36" t="str">
        <f t="shared" si="8"/>
        <v/>
      </c>
      <c r="H74" s="43"/>
      <c r="I74" s="14"/>
      <c r="J74" s="34"/>
    </row>
    <row r="75" spans="1:10" x14ac:dyDescent="0.35">
      <c r="A75" s="34"/>
      <c r="B75" s="33" t="str">
        <f>IF($A75="","",EDATE(Settings!$B$4,$A75-1))</f>
        <v/>
      </c>
      <c r="C75" s="38"/>
      <c r="D75" s="34"/>
      <c r="E75" s="34"/>
      <c r="F75" s="36" t="str">
        <f t="shared" si="8"/>
        <v/>
      </c>
      <c r="H75" s="43"/>
      <c r="I75" s="14"/>
      <c r="J75" s="34"/>
    </row>
    <row r="76" spans="1:10" x14ac:dyDescent="0.35">
      <c r="A76" s="34"/>
      <c r="B76" s="33" t="str">
        <f>IF($A76="","",EDATE(Settings!$B$4,$A76-1))</f>
        <v/>
      </c>
      <c r="C76" s="38"/>
      <c r="D76" s="34"/>
      <c r="E76" s="34"/>
      <c r="F76" s="36" t="str">
        <f t="shared" si="8"/>
        <v/>
      </c>
      <c r="H76" s="43"/>
      <c r="I76" s="14"/>
      <c r="J76" s="34"/>
    </row>
    <row r="77" spans="1:10" x14ac:dyDescent="0.35">
      <c r="A77" s="34"/>
      <c r="B77" s="33" t="str">
        <f>IF($A77="","",EDATE(Settings!$B$4,$A77-1))</f>
        <v/>
      </c>
      <c r="C77" s="38"/>
      <c r="D77" s="34"/>
      <c r="E77" s="34"/>
      <c r="F77" s="36" t="str">
        <f t="shared" si="8"/>
        <v/>
      </c>
      <c r="H77" s="43"/>
      <c r="I77" s="14"/>
      <c r="J77" s="34"/>
    </row>
    <row r="78" spans="1:10" x14ac:dyDescent="0.35">
      <c r="A78" s="34"/>
      <c r="B78" s="33" t="str">
        <f>IF($A78="","",EDATE(Settings!$B$4,$A78-1))</f>
        <v/>
      </c>
      <c r="C78" s="38"/>
      <c r="D78" s="34"/>
      <c r="E78" s="34"/>
      <c r="F78" s="36" t="str">
        <f t="shared" si="8"/>
        <v/>
      </c>
      <c r="H78" s="43"/>
      <c r="I78" s="14"/>
      <c r="J78" s="34"/>
    </row>
    <row r="79" spans="1:10" x14ac:dyDescent="0.35">
      <c r="A79" s="34"/>
      <c r="B79" s="33" t="str">
        <f>IF($A79="","",EDATE(Settings!$B$4,$A79-1))</f>
        <v/>
      </c>
      <c r="C79" s="38"/>
      <c r="D79" s="34"/>
      <c r="E79" s="34"/>
      <c r="F79" s="36" t="str">
        <f t="shared" si="8"/>
        <v/>
      </c>
      <c r="H79" s="43"/>
      <c r="I79" s="14"/>
      <c r="J79" s="34"/>
    </row>
    <row r="80" spans="1:10" x14ac:dyDescent="0.35">
      <c r="A80" s="34"/>
      <c r="B80" s="33" t="str">
        <f>IF($A80="","",EDATE(Settings!$B$4,$A80-1))</f>
        <v/>
      </c>
      <c r="C80" s="38"/>
      <c r="D80" s="34"/>
      <c r="E80" s="34"/>
      <c r="F80" s="36" t="str">
        <f t="shared" si="8"/>
        <v/>
      </c>
      <c r="H80" s="43"/>
      <c r="I80" s="14"/>
      <c r="J80" s="34"/>
    </row>
    <row r="81" spans="1:10" x14ac:dyDescent="0.35">
      <c r="A81" s="34"/>
      <c r="B81" s="33" t="str">
        <f>IF($A81="","",EDATE(Settings!$B$4,$A81-1))</f>
        <v/>
      </c>
      <c r="C81" s="38"/>
      <c r="D81" s="34"/>
      <c r="E81" s="34"/>
      <c r="F81" s="36" t="str">
        <f t="shared" si="8"/>
        <v/>
      </c>
      <c r="H81" s="43"/>
      <c r="I81" s="14"/>
      <c r="J81" s="34"/>
    </row>
    <row r="82" spans="1:10" x14ac:dyDescent="0.35">
      <c r="A82" s="34"/>
      <c r="B82" s="33" t="str">
        <f>IF($A82="","",EDATE(Settings!$B$4,$A82-1))</f>
        <v/>
      </c>
      <c r="C82" s="38"/>
      <c r="D82" s="34"/>
      <c r="E82" s="34"/>
      <c r="F82" s="36" t="str">
        <f t="shared" si="8"/>
        <v/>
      </c>
      <c r="H82" s="43"/>
      <c r="I82" s="14"/>
      <c r="J82" s="34"/>
    </row>
    <row r="83" spans="1:10" x14ac:dyDescent="0.35">
      <c r="A83" s="34"/>
      <c r="B83" s="33" t="str">
        <f>IF($A83="","",EDATE(Settings!$B$4,$A83-1))</f>
        <v/>
      </c>
      <c r="C83" s="38"/>
      <c r="D83" s="34"/>
      <c r="E83" s="34"/>
      <c r="F83" s="36" t="str">
        <f t="shared" si="8"/>
        <v/>
      </c>
      <c r="H83" s="43"/>
      <c r="I83" s="14"/>
      <c r="J83" s="34"/>
    </row>
    <row r="84" spans="1:10" x14ac:dyDescent="0.35">
      <c r="A84" s="34"/>
      <c r="B84" s="33" t="str">
        <f>IF($A84="","",EDATE(Settings!$B$4,$A84-1))</f>
        <v/>
      </c>
      <c r="C84" s="38"/>
      <c r="D84" s="34"/>
      <c r="E84" s="34"/>
      <c r="F84" s="36" t="str">
        <f t="shared" si="8"/>
        <v/>
      </c>
      <c r="H84" s="43"/>
      <c r="I84" s="14"/>
      <c r="J84" s="34"/>
    </row>
    <row r="85" spans="1:10" x14ac:dyDescent="0.35">
      <c r="A85" s="34"/>
      <c r="B85" s="33" t="str">
        <f>IF($A85="","",EDATE(Settings!$B$4,$A85-1))</f>
        <v/>
      </c>
      <c r="C85" s="38"/>
      <c r="D85" s="34"/>
      <c r="E85" s="34"/>
      <c r="F85" s="36" t="str">
        <f t="shared" si="8"/>
        <v/>
      </c>
      <c r="H85" s="43"/>
      <c r="I85" s="14"/>
      <c r="J85" s="34"/>
    </row>
    <row r="86" spans="1:10" x14ac:dyDescent="0.35">
      <c r="A86" s="34"/>
      <c r="B86" s="33" t="str">
        <f>IF($A86="","",EDATE(Settings!$B$4,$A86-1))</f>
        <v/>
      </c>
      <c r="C86" s="38"/>
      <c r="D86" s="34"/>
      <c r="E86" s="34"/>
      <c r="F86" s="36" t="str">
        <f t="shared" si="8"/>
        <v/>
      </c>
      <c r="H86" s="43"/>
      <c r="I86" s="14"/>
      <c r="J86" s="34"/>
    </row>
    <row r="87" spans="1:10" x14ac:dyDescent="0.35">
      <c r="A87" s="34"/>
      <c r="B87" s="33" t="str">
        <f>IF($A87="","",EDATE(Settings!$B$4,$A87-1))</f>
        <v/>
      </c>
      <c r="C87" s="38"/>
      <c r="D87" s="34"/>
      <c r="E87" s="34"/>
      <c r="F87" s="36" t="str">
        <f t="shared" si="8"/>
        <v/>
      </c>
      <c r="H87" s="43"/>
      <c r="I87" s="14"/>
      <c r="J87" s="34"/>
    </row>
    <row r="88" spans="1:10" x14ac:dyDescent="0.35">
      <c r="A88" s="34"/>
      <c r="B88" s="33" t="str">
        <f>IF($A88="","",EDATE(Settings!$B$4,$A88-1))</f>
        <v/>
      </c>
      <c r="C88" s="38"/>
      <c r="D88" s="34"/>
      <c r="E88" s="34"/>
      <c r="F88" s="36" t="str">
        <f t="shared" si="8"/>
        <v/>
      </c>
      <c r="H88" s="43"/>
      <c r="I88" s="14"/>
      <c r="J88" s="34"/>
    </row>
    <row r="89" spans="1:10" x14ac:dyDescent="0.35">
      <c r="A89" s="34"/>
      <c r="B89" s="33" t="str">
        <f>IF($A89="","",EDATE(Settings!$B$4,$A89-1))</f>
        <v/>
      </c>
      <c r="C89" s="38"/>
      <c r="D89" s="34"/>
      <c r="E89" s="34"/>
      <c r="F89" s="36" t="str">
        <f t="shared" si="8"/>
        <v/>
      </c>
      <c r="H89" s="43"/>
      <c r="I89" s="14"/>
      <c r="J89" s="34"/>
    </row>
    <row r="90" spans="1:10" x14ac:dyDescent="0.35">
      <c r="A90" s="34"/>
      <c r="B90" s="33" t="str">
        <f>IF($A90="","",EDATE(Settings!$B$4,$A90-1))</f>
        <v/>
      </c>
      <c r="C90" s="38"/>
      <c r="D90" s="34"/>
      <c r="E90" s="34"/>
      <c r="F90" s="36" t="str">
        <f t="shared" si="8"/>
        <v/>
      </c>
      <c r="H90" s="43"/>
      <c r="I90" s="14"/>
      <c r="J90" s="34"/>
    </row>
    <row r="91" spans="1:10" x14ac:dyDescent="0.35">
      <c r="A91" s="34"/>
      <c r="B91" s="33" t="str">
        <f>IF($A91="","",EDATE(Settings!$B$4,$A91-1))</f>
        <v/>
      </c>
      <c r="C91" s="38"/>
      <c r="D91" s="34"/>
      <c r="E91" s="34"/>
      <c r="F91" s="36" t="str">
        <f t="shared" si="8"/>
        <v/>
      </c>
      <c r="H91" s="43"/>
      <c r="I91" s="14"/>
      <c r="J91" s="34"/>
    </row>
    <row r="92" spans="1:10" x14ac:dyDescent="0.35">
      <c r="A92" s="34"/>
      <c r="B92" s="33" t="str">
        <f>IF($A92="","",EDATE(Settings!$B$4,$A92-1))</f>
        <v/>
      </c>
      <c r="C92" s="38"/>
      <c r="D92" s="34"/>
      <c r="E92" s="34"/>
      <c r="F92" s="36" t="str">
        <f t="shared" si="8"/>
        <v/>
      </c>
      <c r="H92" s="43"/>
      <c r="I92" s="14"/>
      <c r="J92" s="34"/>
    </row>
    <row r="93" spans="1:10" x14ac:dyDescent="0.35">
      <c r="A93" s="34"/>
      <c r="B93" s="33" t="str">
        <f>IF($A93="","",EDATE(Settings!$B$4,$A93-1))</f>
        <v/>
      </c>
      <c r="C93" s="38"/>
      <c r="D93" s="34"/>
      <c r="E93" s="34"/>
      <c r="F93" s="36" t="str">
        <f t="shared" si="8"/>
        <v/>
      </c>
      <c r="H93" s="43"/>
      <c r="I93" s="14"/>
      <c r="J93" s="34"/>
    </row>
    <row r="94" spans="1:10" x14ac:dyDescent="0.35">
      <c r="A94" s="34"/>
      <c r="B94" s="33" t="str">
        <f>IF($A94="","",EDATE(Settings!$B$4,$A94-1))</f>
        <v/>
      </c>
      <c r="C94" s="38"/>
      <c r="D94" s="34"/>
      <c r="E94" s="34"/>
      <c r="F94" s="36" t="str">
        <f t="shared" si="8"/>
        <v/>
      </c>
      <c r="H94" s="43"/>
      <c r="I94" s="14"/>
      <c r="J94" s="34"/>
    </row>
    <row r="95" spans="1:10" x14ac:dyDescent="0.35">
      <c r="A95" s="34"/>
      <c r="B95" s="33" t="str">
        <f>IF($A95="","",EDATE(Settings!$B$4,$A95-1))</f>
        <v/>
      </c>
      <c r="C95" s="38"/>
      <c r="D95" s="34"/>
      <c r="E95" s="34"/>
      <c r="F95" s="36" t="str">
        <f t="shared" si="8"/>
        <v/>
      </c>
      <c r="H95" s="43"/>
      <c r="I95" s="14"/>
      <c r="J95" s="34"/>
    </row>
    <row r="96" spans="1:10" x14ac:dyDescent="0.35">
      <c r="A96" s="34"/>
      <c r="B96" s="33" t="str">
        <f>IF($A96="","",EDATE(Settings!$B$4,$A96-1))</f>
        <v/>
      </c>
      <c r="C96" s="38"/>
      <c r="D96" s="34"/>
      <c r="E96" s="34"/>
      <c r="F96" s="36" t="str">
        <f t="shared" si="8"/>
        <v/>
      </c>
      <c r="H96" s="43"/>
      <c r="I96" s="14"/>
      <c r="J96" s="34"/>
    </row>
    <row r="97" spans="1:10" x14ac:dyDescent="0.35">
      <c r="A97" s="34"/>
      <c r="B97" s="33" t="str">
        <f>IF($A97="","",EDATE(Settings!$B$4,$A97-1))</f>
        <v/>
      </c>
      <c r="C97" s="38"/>
      <c r="D97" s="34"/>
      <c r="E97" s="34"/>
      <c r="F97" s="36" t="str">
        <f t="shared" si="8"/>
        <v/>
      </c>
      <c r="H97" s="43"/>
      <c r="I97" s="14"/>
      <c r="J97" s="34"/>
    </row>
    <row r="98" spans="1:10" x14ac:dyDescent="0.35">
      <c r="A98" s="34"/>
      <c r="B98" s="33" t="str">
        <f>IF($A98="","",EDATE(Settings!$B$4,$A98-1))</f>
        <v/>
      </c>
      <c r="C98" s="38"/>
      <c r="D98" s="34"/>
      <c r="E98" s="34"/>
      <c r="F98" s="36" t="str">
        <f t="shared" si="8"/>
        <v/>
      </c>
      <c r="H98" s="43"/>
      <c r="I98" s="14"/>
      <c r="J98" s="34"/>
    </row>
    <row r="99" spans="1:10" x14ac:dyDescent="0.35">
      <c r="A99" s="34"/>
      <c r="B99" s="33" t="str">
        <f>IF($A99="","",EDATE(Settings!$B$4,$A99-1))</f>
        <v/>
      </c>
      <c r="C99" s="38"/>
      <c r="D99" s="34"/>
      <c r="E99" s="34"/>
      <c r="F99" s="36" t="str">
        <f t="shared" si="8"/>
        <v/>
      </c>
      <c r="H99" s="43"/>
      <c r="I99" s="14"/>
      <c r="J99" s="34"/>
    </row>
    <row r="100" spans="1:10" x14ac:dyDescent="0.35">
      <c r="A100" s="34"/>
      <c r="B100" s="33" t="str">
        <f>IF($A100="","",EDATE(Settings!$B$4,$A100-1))</f>
        <v/>
      </c>
      <c r="C100" s="38"/>
      <c r="D100" s="34"/>
      <c r="E100" s="34"/>
      <c r="F100" s="36" t="str">
        <f t="shared" si="8"/>
        <v/>
      </c>
      <c r="H100" s="43"/>
      <c r="I100" s="14"/>
      <c r="J100" s="34"/>
    </row>
    <row r="101" spans="1:10" x14ac:dyDescent="0.35">
      <c r="A101" s="34"/>
      <c r="B101" s="33" t="str">
        <f>IF($A101="","",EDATE(Settings!$B$4,$A101-1))</f>
        <v/>
      </c>
      <c r="C101" s="38"/>
      <c r="D101" s="34"/>
      <c r="E101" s="34"/>
      <c r="F101" s="36" t="str">
        <f t="shared" si="8"/>
        <v/>
      </c>
      <c r="H101" s="43"/>
      <c r="I101" s="14"/>
      <c r="J101" s="34"/>
    </row>
    <row r="102" spans="1:10" x14ac:dyDescent="0.35">
      <c r="A102" s="34"/>
      <c r="B102" s="33" t="str">
        <f>IF($A102="","",EDATE(Settings!$B$4,$A102-1))</f>
        <v/>
      </c>
      <c r="C102" s="38"/>
      <c r="D102" s="34"/>
      <c r="E102" s="34"/>
      <c r="F102" s="36" t="str">
        <f t="shared" ref="F102:F133" si="9">IF(N(D102)&gt;0,E102/D102,"")</f>
        <v/>
      </c>
      <c r="H102" s="43"/>
      <c r="I102" s="14"/>
      <c r="J102" s="34"/>
    </row>
    <row r="103" spans="1:10" x14ac:dyDescent="0.35">
      <c r="A103" s="34"/>
      <c r="B103" s="33" t="str">
        <f>IF($A103="","",EDATE(Settings!$B$4,$A103-1))</f>
        <v/>
      </c>
      <c r="C103" s="38"/>
      <c r="D103" s="34"/>
      <c r="E103" s="34"/>
      <c r="F103" s="36" t="str">
        <f t="shared" si="9"/>
        <v/>
      </c>
      <c r="H103" s="43"/>
      <c r="I103" s="14"/>
      <c r="J103" s="34"/>
    </row>
    <row r="104" spans="1:10" x14ac:dyDescent="0.35">
      <c r="A104" s="34"/>
      <c r="B104" s="33" t="str">
        <f>IF($A104="","",EDATE(Settings!$B$4,$A104-1))</f>
        <v/>
      </c>
      <c r="C104" s="38"/>
      <c r="D104" s="34"/>
      <c r="E104" s="34"/>
      <c r="F104" s="36" t="str">
        <f t="shared" si="9"/>
        <v/>
      </c>
      <c r="H104" s="43"/>
      <c r="I104" s="14"/>
      <c r="J104" s="34"/>
    </row>
    <row r="105" spans="1:10" x14ac:dyDescent="0.35">
      <c r="A105" s="34"/>
      <c r="B105" s="33" t="str">
        <f>IF($A105="","",EDATE(Settings!$B$4,$A105-1))</f>
        <v/>
      </c>
      <c r="C105" s="38"/>
      <c r="D105" s="34"/>
      <c r="E105" s="34"/>
      <c r="F105" s="36" t="str">
        <f t="shared" si="9"/>
        <v/>
      </c>
      <c r="H105" s="43"/>
      <c r="I105" s="14"/>
      <c r="J105" s="34"/>
    </row>
  </sheetData>
  <dataValidations count="2">
    <dataValidation type="decimal" operator="greaterThanOrEqual" allowBlank="1" error="Enter a number &gt;= 0" sqref="D6:E105" xr:uid="{00000000-0002-0000-0900-000000000000}">
      <formula1>0</formula1>
      <formula2>0</formula2>
    </dataValidation>
    <dataValidation type="list" allowBlank="1" sqref="A6:A105 H6:H105" xr:uid="{00000000-0002-0000-0900-000001000000}">
      <formula1>"1,2,3,4,5,6,7,8,9,10,11,12"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900-000002000000}">
          <x14:formula1>
            <xm:f>Settings!$E$4:$E$10</xm:f>
          </x14:formula1>
          <x14:formula2>
            <xm:f>0</xm:f>
          </x14:formula2>
          <xm:sqref>C6:C105</xm:sqref>
        </x14:dataValidation>
        <x14:dataValidation type="list" allowBlank="1" xr:uid="{00000000-0002-0000-0900-000004000000}">
          <x14:formula1>
            <xm:f>Settings!$I$4:$I$9</xm:f>
          </x14:formula1>
          <x14:formula2>
            <xm:f>0</xm:f>
          </x14:formula2>
          <xm:sqref>I6:I105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A259"/>
  </sheetPr>
  <dimension ref="A1:L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2" width="10" customWidth="1"/>
    <col min="3" max="6" width="13" customWidth="1"/>
    <col min="7" max="7" width="14" customWidth="1"/>
    <col min="8" max="8" width="15" customWidth="1"/>
    <col min="9" max="9" width="11" customWidth="1"/>
    <col min="10" max="10" width="12" customWidth="1"/>
    <col min="11" max="12" width="14" customWidth="1"/>
  </cols>
  <sheetData>
    <row r="1" spans="1:12" ht="18" x14ac:dyDescent="0.4">
      <c r="A1" s="8" t="s">
        <v>219</v>
      </c>
    </row>
    <row r="2" spans="1:12" x14ac:dyDescent="0.35">
      <c r="A2" s="9" t="s">
        <v>220</v>
      </c>
    </row>
    <row r="3" spans="1:12" x14ac:dyDescent="0.35">
      <c r="A3" s="31" t="s">
        <v>120</v>
      </c>
    </row>
    <row r="5" spans="1:12" ht="48" customHeight="1" x14ac:dyDescent="0.35">
      <c r="A5" s="19" t="s">
        <v>106</v>
      </c>
      <c r="B5" s="19" t="s">
        <v>107</v>
      </c>
      <c r="C5" s="19" t="s">
        <v>221</v>
      </c>
      <c r="D5" s="19" t="s">
        <v>222</v>
      </c>
      <c r="E5" s="19" t="s">
        <v>223</v>
      </c>
      <c r="F5" s="19" t="s">
        <v>224</v>
      </c>
      <c r="G5" s="19" t="s">
        <v>225</v>
      </c>
      <c r="H5" s="19" t="s">
        <v>226</v>
      </c>
      <c r="I5" s="19" t="s">
        <v>179</v>
      </c>
      <c r="J5" s="19" t="s">
        <v>180</v>
      </c>
      <c r="K5" s="19" t="s">
        <v>227</v>
      </c>
      <c r="L5" s="19" t="s">
        <v>228</v>
      </c>
    </row>
    <row r="6" spans="1:12" x14ac:dyDescent="0.35">
      <c r="A6" s="32">
        <v>1</v>
      </c>
      <c r="B6" s="33">
        <f>EDATE(Settings!$B$4,$A6-1)</f>
        <v>46327</v>
      </c>
      <c r="C6" s="34">
        <v>2400000</v>
      </c>
      <c r="D6" s="34">
        <v>600000</v>
      </c>
      <c r="E6" s="34">
        <v>1200000</v>
      </c>
      <c r="F6" s="34">
        <v>300000</v>
      </c>
      <c r="G6" s="35">
        <f t="shared" ref="G6:G17" si="0">IF(COUNT(C6:F6)=0,"",SUM(C6:F6))</f>
        <v>4500000</v>
      </c>
      <c r="H6" s="34">
        <v>5000000</v>
      </c>
      <c r="I6" s="34">
        <v>4</v>
      </c>
      <c r="J6" s="34">
        <v>885</v>
      </c>
      <c r="K6" s="35">
        <f t="shared" ref="K6:K17" si="1">IF(AND(ISNUMBER(G6),N(J6)&gt;0),G6/J6,"")</f>
        <v>5084.7457627118647</v>
      </c>
      <c r="L6" s="35">
        <f t="shared" ref="L6:L17" si="2">IF(AND(ISNUMBER(G6),N(I6)&gt;0),G6/I6,"")</f>
        <v>1125000</v>
      </c>
    </row>
    <row r="7" spans="1:12" x14ac:dyDescent="0.35">
      <c r="A7" s="32">
        <v>2</v>
      </c>
      <c r="B7" s="33">
        <f>EDATE(Settings!$B$4,$A7-1)</f>
        <v>46357</v>
      </c>
      <c r="C7" s="34"/>
      <c r="D7" s="34"/>
      <c r="E7" s="34"/>
      <c r="F7" s="34"/>
      <c r="G7" s="35" t="str">
        <f t="shared" si="0"/>
        <v/>
      </c>
      <c r="H7" s="34"/>
      <c r="I7" s="34"/>
      <c r="J7" s="34"/>
      <c r="K7" s="35" t="str">
        <f t="shared" si="1"/>
        <v/>
      </c>
      <c r="L7" s="35" t="str">
        <f t="shared" si="2"/>
        <v/>
      </c>
    </row>
    <row r="8" spans="1:12" x14ac:dyDescent="0.35">
      <c r="A8" s="32">
        <v>3</v>
      </c>
      <c r="B8" s="33">
        <f>EDATE(Settings!$B$4,$A8-1)</f>
        <v>46388</v>
      </c>
      <c r="C8" s="34"/>
      <c r="D8" s="34"/>
      <c r="E8" s="34"/>
      <c r="F8" s="34"/>
      <c r="G8" s="35" t="str">
        <f t="shared" si="0"/>
        <v/>
      </c>
      <c r="H8" s="34"/>
      <c r="I8" s="34"/>
      <c r="J8" s="34"/>
      <c r="K8" s="35" t="str">
        <f t="shared" si="1"/>
        <v/>
      </c>
      <c r="L8" s="35" t="str">
        <f t="shared" si="2"/>
        <v/>
      </c>
    </row>
    <row r="9" spans="1:12" x14ac:dyDescent="0.35">
      <c r="A9" s="32">
        <v>4</v>
      </c>
      <c r="B9" s="33">
        <f>EDATE(Settings!$B$4,$A9-1)</f>
        <v>46419</v>
      </c>
      <c r="C9" s="34"/>
      <c r="D9" s="34"/>
      <c r="E9" s="34"/>
      <c r="F9" s="34"/>
      <c r="G9" s="35" t="str">
        <f t="shared" si="0"/>
        <v/>
      </c>
      <c r="H9" s="34"/>
      <c r="I9" s="34"/>
      <c r="J9" s="34"/>
      <c r="K9" s="35" t="str">
        <f t="shared" si="1"/>
        <v/>
      </c>
      <c r="L9" s="35" t="str">
        <f t="shared" si="2"/>
        <v/>
      </c>
    </row>
    <row r="10" spans="1:12" x14ac:dyDescent="0.35">
      <c r="A10" s="32">
        <v>5</v>
      </c>
      <c r="B10" s="33">
        <f>EDATE(Settings!$B$4,$A10-1)</f>
        <v>46447</v>
      </c>
      <c r="C10" s="34"/>
      <c r="D10" s="34"/>
      <c r="E10" s="34"/>
      <c r="F10" s="34"/>
      <c r="G10" s="35" t="str">
        <f t="shared" si="0"/>
        <v/>
      </c>
      <c r="H10" s="34"/>
      <c r="I10" s="34"/>
      <c r="J10" s="34"/>
      <c r="K10" s="35" t="str">
        <f t="shared" si="1"/>
        <v/>
      </c>
      <c r="L10" s="35" t="str">
        <f t="shared" si="2"/>
        <v/>
      </c>
    </row>
    <row r="11" spans="1:12" x14ac:dyDescent="0.35">
      <c r="A11" s="32">
        <v>6</v>
      </c>
      <c r="B11" s="33">
        <f>EDATE(Settings!$B$4,$A11-1)</f>
        <v>46478</v>
      </c>
      <c r="C11" s="34"/>
      <c r="D11" s="34"/>
      <c r="E11" s="34"/>
      <c r="F11" s="34"/>
      <c r="G11" s="35" t="str">
        <f t="shared" si="0"/>
        <v/>
      </c>
      <c r="H11" s="34"/>
      <c r="I11" s="34"/>
      <c r="J11" s="34"/>
      <c r="K11" s="35" t="str">
        <f t="shared" si="1"/>
        <v/>
      </c>
      <c r="L11" s="35" t="str">
        <f t="shared" si="2"/>
        <v/>
      </c>
    </row>
    <row r="12" spans="1:12" x14ac:dyDescent="0.35">
      <c r="A12" s="32">
        <v>7</v>
      </c>
      <c r="B12" s="33">
        <f>EDATE(Settings!$B$4,$A12-1)</f>
        <v>46508</v>
      </c>
      <c r="C12" s="34"/>
      <c r="D12" s="34"/>
      <c r="E12" s="34"/>
      <c r="F12" s="34"/>
      <c r="G12" s="35" t="str">
        <f t="shared" si="0"/>
        <v/>
      </c>
      <c r="H12" s="34"/>
      <c r="I12" s="34"/>
      <c r="J12" s="34"/>
      <c r="K12" s="35" t="str">
        <f t="shared" si="1"/>
        <v/>
      </c>
      <c r="L12" s="35" t="str">
        <f t="shared" si="2"/>
        <v/>
      </c>
    </row>
    <row r="13" spans="1:12" x14ac:dyDescent="0.35">
      <c r="A13" s="32">
        <v>8</v>
      </c>
      <c r="B13" s="33">
        <f>EDATE(Settings!$B$4,$A13-1)</f>
        <v>46539</v>
      </c>
      <c r="C13" s="34"/>
      <c r="D13" s="34"/>
      <c r="E13" s="34"/>
      <c r="F13" s="34"/>
      <c r="G13" s="35" t="str">
        <f t="shared" si="0"/>
        <v/>
      </c>
      <c r="H13" s="34"/>
      <c r="I13" s="34"/>
      <c r="J13" s="34"/>
      <c r="K13" s="35" t="str">
        <f t="shared" si="1"/>
        <v/>
      </c>
      <c r="L13" s="35" t="str">
        <f t="shared" si="2"/>
        <v/>
      </c>
    </row>
    <row r="14" spans="1:12" x14ac:dyDescent="0.35">
      <c r="A14" s="32">
        <v>9</v>
      </c>
      <c r="B14" s="33">
        <f>EDATE(Settings!$B$4,$A14-1)</f>
        <v>46569</v>
      </c>
      <c r="C14" s="34"/>
      <c r="D14" s="34"/>
      <c r="E14" s="34"/>
      <c r="F14" s="34"/>
      <c r="G14" s="35" t="str">
        <f t="shared" si="0"/>
        <v/>
      </c>
      <c r="H14" s="34"/>
      <c r="I14" s="34"/>
      <c r="J14" s="34"/>
      <c r="K14" s="35" t="str">
        <f t="shared" si="1"/>
        <v/>
      </c>
      <c r="L14" s="35" t="str">
        <f t="shared" si="2"/>
        <v/>
      </c>
    </row>
    <row r="15" spans="1:12" x14ac:dyDescent="0.35">
      <c r="A15" s="32">
        <v>10</v>
      </c>
      <c r="B15" s="33">
        <f>EDATE(Settings!$B$4,$A15-1)</f>
        <v>46600</v>
      </c>
      <c r="C15" s="34"/>
      <c r="D15" s="34"/>
      <c r="E15" s="34"/>
      <c r="F15" s="34"/>
      <c r="G15" s="35" t="str">
        <f t="shared" si="0"/>
        <v/>
      </c>
      <c r="H15" s="34"/>
      <c r="I15" s="34"/>
      <c r="J15" s="34"/>
      <c r="K15" s="35" t="str">
        <f t="shared" si="1"/>
        <v/>
      </c>
      <c r="L15" s="35" t="str">
        <f t="shared" si="2"/>
        <v/>
      </c>
    </row>
    <row r="16" spans="1:12" x14ac:dyDescent="0.35">
      <c r="A16" s="32">
        <v>11</v>
      </c>
      <c r="B16" s="33">
        <f>EDATE(Settings!$B$4,$A16-1)</f>
        <v>46631</v>
      </c>
      <c r="C16" s="34"/>
      <c r="D16" s="34"/>
      <c r="E16" s="34"/>
      <c r="F16" s="34"/>
      <c r="G16" s="35" t="str">
        <f t="shared" si="0"/>
        <v/>
      </c>
      <c r="H16" s="34"/>
      <c r="I16" s="34"/>
      <c r="J16" s="34"/>
      <c r="K16" s="35" t="str">
        <f t="shared" si="1"/>
        <v/>
      </c>
      <c r="L16" s="35" t="str">
        <f t="shared" si="2"/>
        <v/>
      </c>
    </row>
    <row r="17" spans="1:12" x14ac:dyDescent="0.35">
      <c r="A17" s="32">
        <v>12</v>
      </c>
      <c r="B17" s="33">
        <f>EDATE(Settings!$B$4,$A17-1)</f>
        <v>46661</v>
      </c>
      <c r="C17" s="34"/>
      <c r="D17" s="34"/>
      <c r="E17" s="34"/>
      <c r="F17" s="34"/>
      <c r="G17" s="35" t="str">
        <f t="shared" si="0"/>
        <v/>
      </c>
      <c r="H17" s="34"/>
      <c r="I17" s="34"/>
      <c r="J17" s="34"/>
      <c r="K17" s="35" t="str">
        <f t="shared" si="1"/>
        <v/>
      </c>
      <c r="L17" s="35" t="str">
        <f t="shared" si="2"/>
        <v/>
      </c>
    </row>
  </sheetData>
  <dataValidations count="1">
    <dataValidation type="decimal" operator="greaterThanOrEqual" allowBlank="1" error="Enter a number &gt;= 0" sqref="C6:F17 H6:J17" xr:uid="{00000000-0002-0000-0A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A259"/>
  </sheetPr>
  <dimension ref="A1:M20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9" customWidth="1"/>
    <col min="2" max="2" width="10" customWidth="1"/>
    <col min="3" max="3" width="22" customWidth="1"/>
    <col min="4" max="5" width="12" customWidth="1"/>
    <col min="6" max="6" width="14" customWidth="1"/>
    <col min="7" max="7" width="12" customWidth="1"/>
    <col min="8" max="8" width="3" customWidth="1"/>
    <col min="9" max="9" width="24" customWidth="1"/>
    <col min="10" max="13" width="13" customWidth="1"/>
  </cols>
  <sheetData>
    <row r="1" spans="1:13" ht="18" x14ac:dyDescent="0.4">
      <c r="A1" s="8" t="s">
        <v>229</v>
      </c>
    </row>
    <row r="2" spans="1:13" x14ac:dyDescent="0.35">
      <c r="A2" s="9" t="s">
        <v>230</v>
      </c>
    </row>
    <row r="3" spans="1:13" x14ac:dyDescent="0.35">
      <c r="A3" s="31" t="s">
        <v>120</v>
      </c>
    </row>
    <row r="4" spans="1:13" x14ac:dyDescent="0.35">
      <c r="I4" s="39" t="s">
        <v>231</v>
      </c>
    </row>
    <row r="5" spans="1:13" ht="48" customHeight="1" x14ac:dyDescent="0.35">
      <c r="A5" s="19" t="s">
        <v>106</v>
      </c>
      <c r="B5" s="19" t="s">
        <v>107</v>
      </c>
      <c r="C5" s="19" t="s">
        <v>232</v>
      </c>
      <c r="D5" s="19" t="s">
        <v>233</v>
      </c>
      <c r="E5" s="19" t="s">
        <v>234</v>
      </c>
      <c r="F5" s="19" t="s">
        <v>235</v>
      </c>
      <c r="G5" s="19" t="s">
        <v>236</v>
      </c>
      <c r="I5" s="19" t="s">
        <v>232</v>
      </c>
      <c r="J5" s="19" t="s">
        <v>234</v>
      </c>
      <c r="K5" s="19" t="s">
        <v>237</v>
      </c>
      <c r="L5" s="19" t="s">
        <v>236</v>
      </c>
    </row>
    <row r="6" spans="1:13" x14ac:dyDescent="0.35">
      <c r="A6" s="34">
        <v>1</v>
      </c>
      <c r="B6" s="33">
        <f>IF($A6="","",EDATE(Settings!$B$4,$A6-1))</f>
        <v>46327</v>
      </c>
      <c r="C6" s="38" t="s">
        <v>238</v>
      </c>
      <c r="D6" s="38" t="s">
        <v>239</v>
      </c>
      <c r="E6" s="34">
        <v>85</v>
      </c>
      <c r="F6" s="34">
        <v>40</v>
      </c>
      <c r="G6" s="36">
        <f t="shared" ref="G6:G37" si="0">IF(N(E6)&gt;0,F6/E6,"")</f>
        <v>0.47058823529411764</v>
      </c>
      <c r="I6" s="41" t="str">
        <f>Settings!$F$4</f>
        <v>App (self-referral)</v>
      </c>
      <c r="J6" s="35">
        <f t="shared" ref="J6:J12" si="1">SUMIFS($E$6:$E$205,$C$6:$C$205,$I6)</f>
        <v>0</v>
      </c>
      <c r="K6" s="35">
        <f t="shared" ref="K6:K12" si="2">SUMIFS($F$6:$F$205,$C$6:$C$205,$I6)</f>
        <v>0</v>
      </c>
      <c r="L6" s="36" t="str">
        <f t="shared" ref="L6:L12" si="3">IF(J6&gt;0,K6/J6,"")</f>
        <v/>
      </c>
    </row>
    <row r="7" spans="1:13" x14ac:dyDescent="0.35">
      <c r="A7" s="34"/>
      <c r="B7" s="33" t="str">
        <f>IF($A7="","",EDATE(Settings!$B$4,$A7-1))</f>
        <v/>
      </c>
      <c r="C7" s="38"/>
      <c r="D7" s="38"/>
      <c r="E7" s="34"/>
      <c r="F7" s="34"/>
      <c r="G7" s="36" t="str">
        <f t="shared" si="0"/>
        <v/>
      </c>
      <c r="I7" s="41" t="str">
        <f>Settings!$F$5</f>
        <v>Mobilizer</v>
      </c>
      <c r="J7" s="35">
        <f t="shared" si="1"/>
        <v>85</v>
      </c>
      <c r="K7" s="35">
        <f t="shared" si="2"/>
        <v>40</v>
      </c>
      <c r="L7" s="36">
        <f t="shared" si="3"/>
        <v>0.47058823529411764</v>
      </c>
    </row>
    <row r="8" spans="1:13" x14ac:dyDescent="0.35">
      <c r="A8" s="34"/>
      <c r="B8" s="33" t="str">
        <f>IF($A8="","",EDATE(Settings!$B$4,$A8-1))</f>
        <v/>
      </c>
      <c r="C8" s="38"/>
      <c r="D8" s="38"/>
      <c r="E8" s="34"/>
      <c r="F8" s="34"/>
      <c r="G8" s="36" t="str">
        <f t="shared" si="0"/>
        <v/>
      </c>
      <c r="I8" s="41" t="str">
        <f>Settings!$F$6</f>
        <v>Walk-in</v>
      </c>
      <c r="J8" s="35">
        <f t="shared" si="1"/>
        <v>0</v>
      </c>
      <c r="K8" s="35">
        <f t="shared" si="2"/>
        <v>0</v>
      </c>
      <c r="L8" s="36" t="str">
        <f t="shared" si="3"/>
        <v/>
      </c>
    </row>
    <row r="9" spans="1:13" x14ac:dyDescent="0.35">
      <c r="A9" s="34"/>
      <c r="B9" s="33" t="str">
        <f>IF($A9="","",EDATE(Settings!$B$4,$A9-1))</f>
        <v/>
      </c>
      <c r="C9" s="38"/>
      <c r="D9" s="38"/>
      <c r="E9" s="34"/>
      <c r="F9" s="34"/>
      <c r="G9" s="36" t="str">
        <f t="shared" si="0"/>
        <v/>
      </c>
      <c r="I9" s="41" t="str">
        <f>Settings!$F$7</f>
        <v>Social media</v>
      </c>
      <c r="J9" s="35">
        <f t="shared" si="1"/>
        <v>0</v>
      </c>
      <c r="K9" s="35">
        <f t="shared" si="2"/>
        <v>0</v>
      </c>
      <c r="L9" s="36" t="str">
        <f t="shared" si="3"/>
        <v/>
      </c>
    </row>
    <row r="10" spans="1:13" x14ac:dyDescent="0.35">
      <c r="A10" s="34"/>
      <c r="B10" s="33" t="str">
        <f>IF($A10="","",EDATE(Settings!$B$4,$A10-1))</f>
        <v/>
      </c>
      <c r="C10" s="38"/>
      <c r="D10" s="38"/>
      <c r="E10" s="34"/>
      <c r="F10" s="34"/>
      <c r="G10" s="36" t="str">
        <f t="shared" si="0"/>
        <v/>
      </c>
      <c r="I10" s="41" t="str">
        <f>Settings!$F$8</f>
        <v>Radio</v>
      </c>
      <c r="J10" s="35">
        <f t="shared" si="1"/>
        <v>0</v>
      </c>
      <c r="K10" s="35">
        <f t="shared" si="2"/>
        <v>0</v>
      </c>
      <c r="L10" s="36" t="str">
        <f t="shared" si="3"/>
        <v/>
      </c>
    </row>
    <row r="11" spans="1:13" x14ac:dyDescent="0.35">
      <c r="A11" s="34"/>
      <c r="B11" s="33" t="str">
        <f>IF($A11="","",EDATE(Settings!$B$4,$A11-1))</f>
        <v/>
      </c>
      <c r="C11" s="38"/>
      <c r="D11" s="38"/>
      <c r="E11" s="34"/>
      <c r="F11" s="34"/>
      <c r="G11" s="36" t="str">
        <f t="shared" si="0"/>
        <v/>
      </c>
      <c r="I11" s="41" t="str">
        <f>Settings!$F$9</f>
        <v>Community event</v>
      </c>
      <c r="J11" s="35">
        <f t="shared" si="1"/>
        <v>0</v>
      </c>
      <c r="K11" s="35">
        <f t="shared" si="2"/>
        <v>0</v>
      </c>
      <c r="L11" s="36" t="str">
        <f t="shared" si="3"/>
        <v/>
      </c>
    </row>
    <row r="12" spans="1:13" x14ac:dyDescent="0.35">
      <c r="A12" s="34"/>
      <c r="B12" s="33" t="str">
        <f>IF($A12="","",EDATE(Settings!$B$4,$A12-1))</f>
        <v/>
      </c>
      <c r="C12" s="38"/>
      <c r="D12" s="38"/>
      <c r="E12" s="34"/>
      <c r="F12" s="34"/>
      <c r="G12" s="36" t="str">
        <f t="shared" si="0"/>
        <v/>
      </c>
      <c r="I12" s="41" t="str">
        <f>Settings!$F$10</f>
        <v>Digital referral code</v>
      </c>
      <c r="J12" s="35">
        <f t="shared" si="1"/>
        <v>0</v>
      </c>
      <c r="K12" s="35">
        <f t="shared" si="2"/>
        <v>0</v>
      </c>
      <c r="L12" s="36" t="str">
        <f t="shared" si="3"/>
        <v/>
      </c>
    </row>
    <row r="13" spans="1:13" x14ac:dyDescent="0.35">
      <c r="A13" s="34"/>
      <c r="B13" s="33" t="str">
        <f>IF($A13="","",EDATE(Settings!$B$4,$A13-1))</f>
        <v/>
      </c>
      <c r="C13" s="38"/>
      <c r="D13" s="38"/>
      <c r="E13" s="34"/>
      <c r="F13" s="34"/>
      <c r="G13" s="36" t="str">
        <f t="shared" si="0"/>
        <v/>
      </c>
    </row>
    <row r="14" spans="1:13" x14ac:dyDescent="0.35">
      <c r="A14" s="34"/>
      <c r="B14" s="33" t="str">
        <f>IF($A14="","",EDATE(Settings!$B$4,$A14-1))</f>
        <v/>
      </c>
      <c r="C14" s="38"/>
      <c r="D14" s="38"/>
      <c r="E14" s="34"/>
      <c r="F14" s="34"/>
      <c r="G14" s="36" t="str">
        <f t="shared" si="0"/>
        <v/>
      </c>
      <c r="I14" s="39" t="s">
        <v>240</v>
      </c>
    </row>
    <row r="15" spans="1:13" x14ac:dyDescent="0.35">
      <c r="A15" s="34"/>
      <c r="B15" s="33" t="str">
        <f>IF($A15="","",EDATE(Settings!$B$4,$A15-1))</f>
        <v/>
      </c>
      <c r="C15" s="38"/>
      <c r="D15" s="38"/>
      <c r="E15" s="34"/>
      <c r="F15" s="34"/>
      <c r="G15" s="36" t="str">
        <f t="shared" si="0"/>
        <v/>
      </c>
      <c r="I15" s="19" t="s">
        <v>232</v>
      </c>
      <c r="J15" s="19" t="str">
        <f>Settings!$G$4</f>
        <v>15-19 yrs</v>
      </c>
      <c r="K15" s="19" t="str">
        <f>Settings!$G$5</f>
        <v>20-24 yrs</v>
      </c>
      <c r="L15" s="19" t="str">
        <f>Settings!$G$6</f>
        <v>25-34 yrs</v>
      </c>
      <c r="M15" s="19" t="str">
        <f>Settings!$G$7</f>
        <v>35-49 yrs</v>
      </c>
    </row>
    <row r="16" spans="1:13" x14ac:dyDescent="0.35">
      <c r="A16" s="34"/>
      <c r="B16" s="33" t="str">
        <f>IF($A16="","",EDATE(Settings!$B$4,$A16-1))</f>
        <v/>
      </c>
      <c r="C16" s="38"/>
      <c r="D16" s="38"/>
      <c r="E16" s="34"/>
      <c r="F16" s="34"/>
      <c r="G16" s="36" t="str">
        <f t="shared" si="0"/>
        <v/>
      </c>
      <c r="I16" s="41" t="str">
        <f>Settings!$F$4</f>
        <v>App (self-referral)</v>
      </c>
      <c r="J16" s="36" t="str">
        <f t="shared" ref="J16:M22" si="4">IFERROR(SUMIFS($F$6:$F$205,$C$6:$C$205,$I16,$D$6:$D$205,J$15)/SUMIFS($E$6:$E$205,$C$6:$C$205,$I16,$D$6:$D$205,J$15),"")</f>
        <v/>
      </c>
      <c r="K16" s="36" t="str">
        <f t="shared" si="4"/>
        <v/>
      </c>
      <c r="L16" s="36" t="str">
        <f t="shared" si="4"/>
        <v/>
      </c>
      <c r="M16" s="36" t="str">
        <f t="shared" si="4"/>
        <v/>
      </c>
    </row>
    <row r="17" spans="1:13" x14ac:dyDescent="0.35">
      <c r="A17" s="34"/>
      <c r="B17" s="33" t="str">
        <f>IF($A17="","",EDATE(Settings!$B$4,$A17-1))</f>
        <v/>
      </c>
      <c r="C17" s="38"/>
      <c r="D17" s="38"/>
      <c r="E17" s="34"/>
      <c r="F17" s="34"/>
      <c r="G17" s="36" t="str">
        <f t="shared" si="0"/>
        <v/>
      </c>
      <c r="I17" s="41" t="str">
        <f>Settings!$F$5</f>
        <v>Mobilizer</v>
      </c>
      <c r="J17" s="36" t="str">
        <f t="shared" si="4"/>
        <v/>
      </c>
      <c r="K17" s="36">
        <f t="shared" si="4"/>
        <v>0.47058823529411764</v>
      </c>
      <c r="L17" s="36" t="str">
        <f t="shared" si="4"/>
        <v/>
      </c>
      <c r="M17" s="36" t="str">
        <f t="shared" si="4"/>
        <v/>
      </c>
    </row>
    <row r="18" spans="1:13" x14ac:dyDescent="0.35">
      <c r="A18" s="34"/>
      <c r="B18" s="33" t="str">
        <f>IF($A18="","",EDATE(Settings!$B$4,$A18-1))</f>
        <v/>
      </c>
      <c r="C18" s="38"/>
      <c r="D18" s="38"/>
      <c r="E18" s="34"/>
      <c r="F18" s="34"/>
      <c r="G18" s="36" t="str">
        <f t="shared" si="0"/>
        <v/>
      </c>
      <c r="I18" s="41" t="str">
        <f>Settings!$F$6</f>
        <v>Walk-in</v>
      </c>
      <c r="J18" s="36" t="str">
        <f t="shared" si="4"/>
        <v/>
      </c>
      <c r="K18" s="36" t="str">
        <f t="shared" si="4"/>
        <v/>
      </c>
      <c r="L18" s="36" t="str">
        <f t="shared" si="4"/>
        <v/>
      </c>
      <c r="M18" s="36" t="str">
        <f t="shared" si="4"/>
        <v/>
      </c>
    </row>
    <row r="19" spans="1:13" x14ac:dyDescent="0.35">
      <c r="A19" s="34"/>
      <c r="B19" s="33" t="str">
        <f>IF($A19="","",EDATE(Settings!$B$4,$A19-1))</f>
        <v/>
      </c>
      <c r="C19" s="38"/>
      <c r="D19" s="38"/>
      <c r="E19" s="34"/>
      <c r="F19" s="34"/>
      <c r="G19" s="36" t="str">
        <f t="shared" si="0"/>
        <v/>
      </c>
      <c r="I19" s="41" t="str">
        <f>Settings!$F$7</f>
        <v>Social media</v>
      </c>
      <c r="J19" s="36" t="str">
        <f t="shared" si="4"/>
        <v/>
      </c>
      <c r="K19" s="36" t="str">
        <f t="shared" si="4"/>
        <v/>
      </c>
      <c r="L19" s="36" t="str">
        <f t="shared" si="4"/>
        <v/>
      </c>
      <c r="M19" s="36" t="str">
        <f t="shared" si="4"/>
        <v/>
      </c>
    </row>
    <row r="20" spans="1:13" x14ac:dyDescent="0.35">
      <c r="A20" s="34"/>
      <c r="B20" s="33" t="str">
        <f>IF($A20="","",EDATE(Settings!$B$4,$A20-1))</f>
        <v/>
      </c>
      <c r="C20" s="38"/>
      <c r="D20" s="38"/>
      <c r="E20" s="34"/>
      <c r="F20" s="34"/>
      <c r="G20" s="36" t="str">
        <f t="shared" si="0"/>
        <v/>
      </c>
      <c r="I20" s="41" t="str">
        <f>Settings!$F$8</f>
        <v>Radio</v>
      </c>
      <c r="J20" s="36" t="str">
        <f t="shared" si="4"/>
        <v/>
      </c>
      <c r="K20" s="36" t="str">
        <f t="shared" si="4"/>
        <v/>
      </c>
      <c r="L20" s="36" t="str">
        <f t="shared" si="4"/>
        <v/>
      </c>
      <c r="M20" s="36" t="str">
        <f t="shared" si="4"/>
        <v/>
      </c>
    </row>
    <row r="21" spans="1:13" x14ac:dyDescent="0.35">
      <c r="A21" s="34"/>
      <c r="B21" s="33" t="str">
        <f>IF($A21="","",EDATE(Settings!$B$4,$A21-1))</f>
        <v/>
      </c>
      <c r="C21" s="38"/>
      <c r="D21" s="38"/>
      <c r="E21" s="34"/>
      <c r="F21" s="34"/>
      <c r="G21" s="36" t="str">
        <f t="shared" si="0"/>
        <v/>
      </c>
      <c r="I21" s="41" t="str">
        <f>Settings!$F$9</f>
        <v>Community event</v>
      </c>
      <c r="J21" s="36" t="str">
        <f t="shared" si="4"/>
        <v/>
      </c>
      <c r="K21" s="36" t="str">
        <f t="shared" si="4"/>
        <v/>
      </c>
      <c r="L21" s="36" t="str">
        <f t="shared" si="4"/>
        <v/>
      </c>
      <c r="M21" s="36" t="str">
        <f t="shared" si="4"/>
        <v/>
      </c>
    </row>
    <row r="22" spans="1:13" x14ac:dyDescent="0.35">
      <c r="A22" s="34"/>
      <c r="B22" s="33" t="str">
        <f>IF($A22="","",EDATE(Settings!$B$4,$A22-1))</f>
        <v/>
      </c>
      <c r="C22" s="38"/>
      <c r="D22" s="38"/>
      <c r="E22" s="34"/>
      <c r="F22" s="34"/>
      <c r="G22" s="36" t="str">
        <f t="shared" si="0"/>
        <v/>
      </c>
      <c r="I22" s="41" t="str">
        <f>Settings!$F$10</f>
        <v>Digital referral code</v>
      </c>
      <c r="J22" s="36" t="str">
        <f t="shared" si="4"/>
        <v/>
      </c>
      <c r="K22" s="36" t="str">
        <f t="shared" si="4"/>
        <v/>
      </c>
      <c r="L22" s="36" t="str">
        <f t="shared" si="4"/>
        <v/>
      </c>
      <c r="M22" s="36" t="str">
        <f t="shared" si="4"/>
        <v/>
      </c>
    </row>
    <row r="23" spans="1:13" x14ac:dyDescent="0.35">
      <c r="A23" s="34"/>
      <c r="B23" s="33" t="str">
        <f>IF($A23="","",EDATE(Settings!$B$4,$A23-1))</f>
        <v/>
      </c>
      <c r="C23" s="38"/>
      <c r="D23" s="38"/>
      <c r="E23" s="34"/>
      <c r="F23" s="34"/>
      <c r="G23" s="36" t="str">
        <f t="shared" si="0"/>
        <v/>
      </c>
    </row>
    <row r="24" spans="1:13" x14ac:dyDescent="0.35">
      <c r="A24" s="34"/>
      <c r="B24" s="33" t="str">
        <f>IF($A24="","",EDATE(Settings!$B$4,$A24-1))</f>
        <v/>
      </c>
      <c r="C24" s="38"/>
      <c r="D24" s="38"/>
      <c r="E24" s="34"/>
      <c r="F24" s="34"/>
      <c r="G24" s="36" t="str">
        <f t="shared" si="0"/>
        <v/>
      </c>
    </row>
    <row r="25" spans="1:13" x14ac:dyDescent="0.35">
      <c r="A25" s="34"/>
      <c r="B25" s="33" t="str">
        <f>IF($A25="","",EDATE(Settings!$B$4,$A25-1))</f>
        <v/>
      </c>
      <c r="C25" s="38"/>
      <c r="D25" s="38"/>
      <c r="E25" s="34"/>
      <c r="F25" s="34"/>
      <c r="G25" s="36" t="str">
        <f t="shared" si="0"/>
        <v/>
      </c>
    </row>
    <row r="26" spans="1:13" x14ac:dyDescent="0.35">
      <c r="A26" s="34"/>
      <c r="B26" s="33" t="str">
        <f>IF($A26="","",EDATE(Settings!$B$4,$A26-1))</f>
        <v/>
      </c>
      <c r="C26" s="38"/>
      <c r="D26" s="38"/>
      <c r="E26" s="34"/>
      <c r="F26" s="34"/>
      <c r="G26" s="36" t="str">
        <f t="shared" si="0"/>
        <v/>
      </c>
    </row>
    <row r="27" spans="1:13" x14ac:dyDescent="0.35">
      <c r="A27" s="34"/>
      <c r="B27" s="33" t="str">
        <f>IF($A27="","",EDATE(Settings!$B$4,$A27-1))</f>
        <v/>
      </c>
      <c r="C27" s="38"/>
      <c r="D27" s="38"/>
      <c r="E27" s="34"/>
      <c r="F27" s="34"/>
      <c r="G27" s="36" t="str">
        <f t="shared" si="0"/>
        <v/>
      </c>
    </row>
    <row r="28" spans="1:13" x14ac:dyDescent="0.35">
      <c r="A28" s="34"/>
      <c r="B28" s="33" t="str">
        <f>IF($A28="","",EDATE(Settings!$B$4,$A28-1))</f>
        <v/>
      </c>
      <c r="C28" s="38"/>
      <c r="D28" s="38"/>
      <c r="E28" s="34"/>
      <c r="F28" s="34"/>
      <c r="G28" s="36" t="str">
        <f t="shared" si="0"/>
        <v/>
      </c>
    </row>
    <row r="29" spans="1:13" x14ac:dyDescent="0.35">
      <c r="A29" s="34"/>
      <c r="B29" s="33" t="str">
        <f>IF($A29="","",EDATE(Settings!$B$4,$A29-1))</f>
        <v/>
      </c>
      <c r="C29" s="38"/>
      <c r="D29" s="38"/>
      <c r="E29" s="34"/>
      <c r="F29" s="34"/>
      <c r="G29" s="36" t="str">
        <f t="shared" si="0"/>
        <v/>
      </c>
    </row>
    <row r="30" spans="1:13" x14ac:dyDescent="0.35">
      <c r="A30" s="34"/>
      <c r="B30" s="33" t="str">
        <f>IF($A30="","",EDATE(Settings!$B$4,$A30-1))</f>
        <v/>
      </c>
      <c r="C30" s="38"/>
      <c r="D30" s="38"/>
      <c r="E30" s="34"/>
      <c r="F30" s="34"/>
      <c r="G30" s="36" t="str">
        <f t="shared" si="0"/>
        <v/>
      </c>
    </row>
    <row r="31" spans="1:13" x14ac:dyDescent="0.35">
      <c r="A31" s="34"/>
      <c r="B31" s="33" t="str">
        <f>IF($A31="","",EDATE(Settings!$B$4,$A31-1))</f>
        <v/>
      </c>
      <c r="C31" s="38"/>
      <c r="D31" s="38"/>
      <c r="E31" s="34"/>
      <c r="F31" s="34"/>
      <c r="G31" s="36" t="str">
        <f t="shared" si="0"/>
        <v/>
      </c>
    </row>
    <row r="32" spans="1:13" x14ac:dyDescent="0.35">
      <c r="A32" s="34"/>
      <c r="B32" s="33" t="str">
        <f>IF($A32="","",EDATE(Settings!$B$4,$A32-1))</f>
        <v/>
      </c>
      <c r="C32" s="38"/>
      <c r="D32" s="38"/>
      <c r="E32" s="34"/>
      <c r="F32" s="34"/>
      <c r="G32" s="36" t="str">
        <f t="shared" si="0"/>
        <v/>
      </c>
    </row>
    <row r="33" spans="1:7" x14ac:dyDescent="0.35">
      <c r="A33" s="34"/>
      <c r="B33" s="33" t="str">
        <f>IF($A33="","",EDATE(Settings!$B$4,$A33-1))</f>
        <v/>
      </c>
      <c r="C33" s="38"/>
      <c r="D33" s="38"/>
      <c r="E33" s="34"/>
      <c r="F33" s="34"/>
      <c r="G33" s="36" t="str">
        <f t="shared" si="0"/>
        <v/>
      </c>
    </row>
    <row r="34" spans="1:7" x14ac:dyDescent="0.35">
      <c r="A34" s="34"/>
      <c r="B34" s="33" t="str">
        <f>IF($A34="","",EDATE(Settings!$B$4,$A34-1))</f>
        <v/>
      </c>
      <c r="C34" s="38"/>
      <c r="D34" s="38"/>
      <c r="E34" s="34"/>
      <c r="F34" s="34"/>
      <c r="G34" s="36" t="str">
        <f t="shared" si="0"/>
        <v/>
      </c>
    </row>
    <row r="35" spans="1:7" x14ac:dyDescent="0.35">
      <c r="A35" s="34"/>
      <c r="B35" s="33" t="str">
        <f>IF($A35="","",EDATE(Settings!$B$4,$A35-1))</f>
        <v/>
      </c>
      <c r="C35" s="38"/>
      <c r="D35" s="38"/>
      <c r="E35" s="34"/>
      <c r="F35" s="34"/>
      <c r="G35" s="36" t="str">
        <f t="shared" si="0"/>
        <v/>
      </c>
    </row>
    <row r="36" spans="1:7" x14ac:dyDescent="0.35">
      <c r="A36" s="34"/>
      <c r="B36" s="33" t="str">
        <f>IF($A36="","",EDATE(Settings!$B$4,$A36-1))</f>
        <v/>
      </c>
      <c r="C36" s="38"/>
      <c r="D36" s="38"/>
      <c r="E36" s="34"/>
      <c r="F36" s="34"/>
      <c r="G36" s="36" t="str">
        <f t="shared" si="0"/>
        <v/>
      </c>
    </row>
    <row r="37" spans="1:7" x14ac:dyDescent="0.35">
      <c r="A37" s="34"/>
      <c r="B37" s="33" t="str">
        <f>IF($A37="","",EDATE(Settings!$B$4,$A37-1))</f>
        <v/>
      </c>
      <c r="C37" s="38"/>
      <c r="D37" s="38"/>
      <c r="E37" s="34"/>
      <c r="F37" s="34"/>
      <c r="G37" s="36" t="str">
        <f t="shared" si="0"/>
        <v/>
      </c>
    </row>
    <row r="38" spans="1:7" x14ac:dyDescent="0.35">
      <c r="A38" s="34"/>
      <c r="B38" s="33" t="str">
        <f>IF($A38="","",EDATE(Settings!$B$4,$A38-1))</f>
        <v/>
      </c>
      <c r="C38" s="38"/>
      <c r="D38" s="38"/>
      <c r="E38" s="34"/>
      <c r="F38" s="34"/>
      <c r="G38" s="36" t="str">
        <f t="shared" ref="G38:G69" si="5">IF(N(E38)&gt;0,F38/E38,"")</f>
        <v/>
      </c>
    </row>
    <row r="39" spans="1:7" x14ac:dyDescent="0.35">
      <c r="A39" s="34"/>
      <c r="B39" s="33" t="str">
        <f>IF($A39="","",EDATE(Settings!$B$4,$A39-1))</f>
        <v/>
      </c>
      <c r="C39" s="38"/>
      <c r="D39" s="38"/>
      <c r="E39" s="34"/>
      <c r="F39" s="34"/>
      <c r="G39" s="36" t="str">
        <f t="shared" si="5"/>
        <v/>
      </c>
    </row>
    <row r="40" spans="1:7" x14ac:dyDescent="0.35">
      <c r="A40" s="34"/>
      <c r="B40" s="33" t="str">
        <f>IF($A40="","",EDATE(Settings!$B$4,$A40-1))</f>
        <v/>
      </c>
      <c r="C40" s="38"/>
      <c r="D40" s="38"/>
      <c r="E40" s="34"/>
      <c r="F40" s="34"/>
      <c r="G40" s="36" t="str">
        <f t="shared" si="5"/>
        <v/>
      </c>
    </row>
    <row r="41" spans="1:7" x14ac:dyDescent="0.35">
      <c r="A41" s="34"/>
      <c r="B41" s="33" t="str">
        <f>IF($A41="","",EDATE(Settings!$B$4,$A41-1))</f>
        <v/>
      </c>
      <c r="C41" s="38"/>
      <c r="D41" s="38"/>
      <c r="E41" s="34"/>
      <c r="F41" s="34"/>
      <c r="G41" s="36" t="str">
        <f t="shared" si="5"/>
        <v/>
      </c>
    </row>
    <row r="42" spans="1:7" x14ac:dyDescent="0.35">
      <c r="A42" s="34"/>
      <c r="B42" s="33" t="str">
        <f>IF($A42="","",EDATE(Settings!$B$4,$A42-1))</f>
        <v/>
      </c>
      <c r="C42" s="38"/>
      <c r="D42" s="38"/>
      <c r="E42" s="34"/>
      <c r="F42" s="34"/>
      <c r="G42" s="36" t="str">
        <f t="shared" si="5"/>
        <v/>
      </c>
    </row>
    <row r="43" spans="1:7" x14ac:dyDescent="0.35">
      <c r="A43" s="34"/>
      <c r="B43" s="33" t="str">
        <f>IF($A43="","",EDATE(Settings!$B$4,$A43-1))</f>
        <v/>
      </c>
      <c r="C43" s="38"/>
      <c r="D43" s="38"/>
      <c r="E43" s="34"/>
      <c r="F43" s="34"/>
      <c r="G43" s="36" t="str">
        <f t="shared" si="5"/>
        <v/>
      </c>
    </row>
    <row r="44" spans="1:7" x14ac:dyDescent="0.35">
      <c r="A44" s="34"/>
      <c r="B44" s="33" t="str">
        <f>IF($A44="","",EDATE(Settings!$B$4,$A44-1))</f>
        <v/>
      </c>
      <c r="C44" s="38"/>
      <c r="D44" s="38"/>
      <c r="E44" s="34"/>
      <c r="F44" s="34"/>
      <c r="G44" s="36" t="str">
        <f t="shared" si="5"/>
        <v/>
      </c>
    </row>
    <row r="45" spans="1:7" x14ac:dyDescent="0.35">
      <c r="A45" s="34"/>
      <c r="B45" s="33" t="str">
        <f>IF($A45="","",EDATE(Settings!$B$4,$A45-1))</f>
        <v/>
      </c>
      <c r="C45" s="38"/>
      <c r="D45" s="38"/>
      <c r="E45" s="34"/>
      <c r="F45" s="34"/>
      <c r="G45" s="36" t="str">
        <f t="shared" si="5"/>
        <v/>
      </c>
    </row>
    <row r="46" spans="1:7" x14ac:dyDescent="0.35">
      <c r="A46" s="34"/>
      <c r="B46" s="33" t="str">
        <f>IF($A46="","",EDATE(Settings!$B$4,$A46-1))</f>
        <v/>
      </c>
      <c r="C46" s="38"/>
      <c r="D46" s="38"/>
      <c r="E46" s="34"/>
      <c r="F46" s="34"/>
      <c r="G46" s="36" t="str">
        <f t="shared" si="5"/>
        <v/>
      </c>
    </row>
    <row r="47" spans="1:7" x14ac:dyDescent="0.35">
      <c r="A47" s="34"/>
      <c r="B47" s="33" t="str">
        <f>IF($A47="","",EDATE(Settings!$B$4,$A47-1))</f>
        <v/>
      </c>
      <c r="C47" s="38"/>
      <c r="D47" s="38"/>
      <c r="E47" s="34"/>
      <c r="F47" s="34"/>
      <c r="G47" s="36" t="str">
        <f t="shared" si="5"/>
        <v/>
      </c>
    </row>
    <row r="48" spans="1:7" x14ac:dyDescent="0.35">
      <c r="A48" s="34"/>
      <c r="B48" s="33" t="str">
        <f>IF($A48="","",EDATE(Settings!$B$4,$A48-1))</f>
        <v/>
      </c>
      <c r="C48" s="38"/>
      <c r="D48" s="38"/>
      <c r="E48" s="34"/>
      <c r="F48" s="34"/>
      <c r="G48" s="36" t="str">
        <f t="shared" si="5"/>
        <v/>
      </c>
    </row>
    <row r="49" spans="1:7" x14ac:dyDescent="0.35">
      <c r="A49" s="34"/>
      <c r="B49" s="33" t="str">
        <f>IF($A49="","",EDATE(Settings!$B$4,$A49-1))</f>
        <v/>
      </c>
      <c r="C49" s="38"/>
      <c r="D49" s="38"/>
      <c r="E49" s="34"/>
      <c r="F49" s="34"/>
      <c r="G49" s="36" t="str">
        <f t="shared" si="5"/>
        <v/>
      </c>
    </row>
    <row r="50" spans="1:7" x14ac:dyDescent="0.35">
      <c r="A50" s="34"/>
      <c r="B50" s="33" t="str">
        <f>IF($A50="","",EDATE(Settings!$B$4,$A50-1))</f>
        <v/>
      </c>
      <c r="C50" s="38"/>
      <c r="D50" s="38"/>
      <c r="E50" s="34"/>
      <c r="F50" s="34"/>
      <c r="G50" s="36" t="str">
        <f t="shared" si="5"/>
        <v/>
      </c>
    </row>
    <row r="51" spans="1:7" x14ac:dyDescent="0.35">
      <c r="A51" s="34"/>
      <c r="B51" s="33" t="str">
        <f>IF($A51="","",EDATE(Settings!$B$4,$A51-1))</f>
        <v/>
      </c>
      <c r="C51" s="38"/>
      <c r="D51" s="38"/>
      <c r="E51" s="34"/>
      <c r="F51" s="34"/>
      <c r="G51" s="36" t="str">
        <f t="shared" si="5"/>
        <v/>
      </c>
    </row>
    <row r="52" spans="1:7" x14ac:dyDescent="0.35">
      <c r="A52" s="34"/>
      <c r="B52" s="33" t="str">
        <f>IF($A52="","",EDATE(Settings!$B$4,$A52-1))</f>
        <v/>
      </c>
      <c r="C52" s="38"/>
      <c r="D52" s="38"/>
      <c r="E52" s="34"/>
      <c r="F52" s="34"/>
      <c r="G52" s="36" t="str">
        <f t="shared" si="5"/>
        <v/>
      </c>
    </row>
    <row r="53" spans="1:7" x14ac:dyDescent="0.35">
      <c r="A53" s="34"/>
      <c r="B53" s="33" t="str">
        <f>IF($A53="","",EDATE(Settings!$B$4,$A53-1))</f>
        <v/>
      </c>
      <c r="C53" s="38"/>
      <c r="D53" s="38"/>
      <c r="E53" s="34"/>
      <c r="F53" s="34"/>
      <c r="G53" s="36" t="str">
        <f t="shared" si="5"/>
        <v/>
      </c>
    </row>
    <row r="54" spans="1:7" x14ac:dyDescent="0.35">
      <c r="A54" s="34"/>
      <c r="B54" s="33" t="str">
        <f>IF($A54="","",EDATE(Settings!$B$4,$A54-1))</f>
        <v/>
      </c>
      <c r="C54" s="38"/>
      <c r="D54" s="38"/>
      <c r="E54" s="34"/>
      <c r="F54" s="34"/>
      <c r="G54" s="36" t="str">
        <f t="shared" si="5"/>
        <v/>
      </c>
    </row>
    <row r="55" spans="1:7" x14ac:dyDescent="0.35">
      <c r="A55" s="34"/>
      <c r="B55" s="33" t="str">
        <f>IF($A55="","",EDATE(Settings!$B$4,$A55-1))</f>
        <v/>
      </c>
      <c r="C55" s="38"/>
      <c r="D55" s="38"/>
      <c r="E55" s="34"/>
      <c r="F55" s="34"/>
      <c r="G55" s="36" t="str">
        <f t="shared" si="5"/>
        <v/>
      </c>
    </row>
    <row r="56" spans="1:7" x14ac:dyDescent="0.35">
      <c r="A56" s="34"/>
      <c r="B56" s="33" t="str">
        <f>IF($A56="","",EDATE(Settings!$B$4,$A56-1))</f>
        <v/>
      </c>
      <c r="C56" s="38"/>
      <c r="D56" s="38"/>
      <c r="E56" s="34"/>
      <c r="F56" s="34"/>
      <c r="G56" s="36" t="str">
        <f t="shared" si="5"/>
        <v/>
      </c>
    </row>
    <row r="57" spans="1:7" x14ac:dyDescent="0.35">
      <c r="A57" s="34"/>
      <c r="B57" s="33" t="str">
        <f>IF($A57="","",EDATE(Settings!$B$4,$A57-1))</f>
        <v/>
      </c>
      <c r="C57" s="38"/>
      <c r="D57" s="38"/>
      <c r="E57" s="34"/>
      <c r="F57" s="34"/>
      <c r="G57" s="36" t="str">
        <f t="shared" si="5"/>
        <v/>
      </c>
    </row>
    <row r="58" spans="1:7" x14ac:dyDescent="0.35">
      <c r="A58" s="34"/>
      <c r="B58" s="33" t="str">
        <f>IF($A58="","",EDATE(Settings!$B$4,$A58-1))</f>
        <v/>
      </c>
      <c r="C58" s="38"/>
      <c r="D58" s="38"/>
      <c r="E58" s="34"/>
      <c r="F58" s="34"/>
      <c r="G58" s="36" t="str">
        <f t="shared" si="5"/>
        <v/>
      </c>
    </row>
    <row r="59" spans="1:7" x14ac:dyDescent="0.35">
      <c r="A59" s="34"/>
      <c r="B59" s="33" t="str">
        <f>IF($A59="","",EDATE(Settings!$B$4,$A59-1))</f>
        <v/>
      </c>
      <c r="C59" s="38"/>
      <c r="D59" s="38"/>
      <c r="E59" s="34"/>
      <c r="F59" s="34"/>
      <c r="G59" s="36" t="str">
        <f t="shared" si="5"/>
        <v/>
      </c>
    </row>
    <row r="60" spans="1:7" x14ac:dyDescent="0.35">
      <c r="A60" s="34"/>
      <c r="B60" s="33" t="str">
        <f>IF($A60="","",EDATE(Settings!$B$4,$A60-1))</f>
        <v/>
      </c>
      <c r="C60" s="38"/>
      <c r="D60" s="38"/>
      <c r="E60" s="34"/>
      <c r="F60" s="34"/>
      <c r="G60" s="36" t="str">
        <f t="shared" si="5"/>
        <v/>
      </c>
    </row>
    <row r="61" spans="1:7" x14ac:dyDescent="0.35">
      <c r="A61" s="34"/>
      <c r="B61" s="33" t="str">
        <f>IF($A61="","",EDATE(Settings!$B$4,$A61-1))</f>
        <v/>
      </c>
      <c r="C61" s="38"/>
      <c r="D61" s="38"/>
      <c r="E61" s="34"/>
      <c r="F61" s="34"/>
      <c r="G61" s="36" t="str">
        <f t="shared" si="5"/>
        <v/>
      </c>
    </row>
    <row r="62" spans="1:7" x14ac:dyDescent="0.35">
      <c r="A62" s="34"/>
      <c r="B62" s="33" t="str">
        <f>IF($A62="","",EDATE(Settings!$B$4,$A62-1))</f>
        <v/>
      </c>
      <c r="C62" s="38"/>
      <c r="D62" s="38"/>
      <c r="E62" s="34"/>
      <c r="F62" s="34"/>
      <c r="G62" s="36" t="str">
        <f t="shared" si="5"/>
        <v/>
      </c>
    </row>
    <row r="63" spans="1:7" x14ac:dyDescent="0.35">
      <c r="A63" s="34"/>
      <c r="B63" s="33" t="str">
        <f>IF($A63="","",EDATE(Settings!$B$4,$A63-1))</f>
        <v/>
      </c>
      <c r="C63" s="38"/>
      <c r="D63" s="38"/>
      <c r="E63" s="34"/>
      <c r="F63" s="34"/>
      <c r="G63" s="36" t="str">
        <f t="shared" si="5"/>
        <v/>
      </c>
    </row>
    <row r="64" spans="1:7" x14ac:dyDescent="0.35">
      <c r="A64" s="34"/>
      <c r="B64" s="33" t="str">
        <f>IF($A64="","",EDATE(Settings!$B$4,$A64-1))</f>
        <v/>
      </c>
      <c r="C64" s="38"/>
      <c r="D64" s="38"/>
      <c r="E64" s="34"/>
      <c r="F64" s="34"/>
      <c r="G64" s="36" t="str">
        <f t="shared" si="5"/>
        <v/>
      </c>
    </row>
    <row r="65" spans="1:7" x14ac:dyDescent="0.35">
      <c r="A65" s="34"/>
      <c r="B65" s="33" t="str">
        <f>IF($A65="","",EDATE(Settings!$B$4,$A65-1))</f>
        <v/>
      </c>
      <c r="C65" s="38"/>
      <c r="D65" s="38"/>
      <c r="E65" s="34"/>
      <c r="F65" s="34"/>
      <c r="G65" s="36" t="str">
        <f t="shared" si="5"/>
        <v/>
      </c>
    </row>
    <row r="66" spans="1:7" x14ac:dyDescent="0.35">
      <c r="A66" s="34"/>
      <c r="B66" s="33" t="str">
        <f>IF($A66="","",EDATE(Settings!$B$4,$A66-1))</f>
        <v/>
      </c>
      <c r="C66" s="38"/>
      <c r="D66" s="38"/>
      <c r="E66" s="34"/>
      <c r="F66" s="34"/>
      <c r="G66" s="36" t="str">
        <f t="shared" si="5"/>
        <v/>
      </c>
    </row>
    <row r="67" spans="1:7" x14ac:dyDescent="0.35">
      <c r="A67" s="34"/>
      <c r="B67" s="33" t="str">
        <f>IF($A67="","",EDATE(Settings!$B$4,$A67-1))</f>
        <v/>
      </c>
      <c r="C67" s="38"/>
      <c r="D67" s="38"/>
      <c r="E67" s="34"/>
      <c r="F67" s="34"/>
      <c r="G67" s="36" t="str">
        <f t="shared" si="5"/>
        <v/>
      </c>
    </row>
    <row r="68" spans="1:7" x14ac:dyDescent="0.35">
      <c r="A68" s="34"/>
      <c r="B68" s="33" t="str">
        <f>IF($A68="","",EDATE(Settings!$B$4,$A68-1))</f>
        <v/>
      </c>
      <c r="C68" s="38"/>
      <c r="D68" s="38"/>
      <c r="E68" s="34"/>
      <c r="F68" s="34"/>
      <c r="G68" s="36" t="str">
        <f t="shared" si="5"/>
        <v/>
      </c>
    </row>
    <row r="69" spans="1:7" x14ac:dyDescent="0.35">
      <c r="A69" s="34"/>
      <c r="B69" s="33" t="str">
        <f>IF($A69="","",EDATE(Settings!$B$4,$A69-1))</f>
        <v/>
      </c>
      <c r="C69" s="38"/>
      <c r="D69" s="38"/>
      <c r="E69" s="34"/>
      <c r="F69" s="34"/>
      <c r="G69" s="36" t="str">
        <f t="shared" si="5"/>
        <v/>
      </c>
    </row>
    <row r="70" spans="1:7" x14ac:dyDescent="0.35">
      <c r="A70" s="34"/>
      <c r="B70" s="33" t="str">
        <f>IF($A70="","",EDATE(Settings!$B$4,$A70-1))</f>
        <v/>
      </c>
      <c r="C70" s="38"/>
      <c r="D70" s="38"/>
      <c r="E70" s="34"/>
      <c r="F70" s="34"/>
      <c r="G70" s="36" t="str">
        <f t="shared" ref="G70:G101" si="6">IF(N(E70)&gt;0,F70/E70,"")</f>
        <v/>
      </c>
    </row>
    <row r="71" spans="1:7" x14ac:dyDescent="0.35">
      <c r="A71" s="34"/>
      <c r="B71" s="33" t="str">
        <f>IF($A71="","",EDATE(Settings!$B$4,$A71-1))</f>
        <v/>
      </c>
      <c r="C71" s="38"/>
      <c r="D71" s="38"/>
      <c r="E71" s="34"/>
      <c r="F71" s="34"/>
      <c r="G71" s="36" t="str">
        <f t="shared" si="6"/>
        <v/>
      </c>
    </row>
    <row r="72" spans="1:7" x14ac:dyDescent="0.35">
      <c r="A72" s="34"/>
      <c r="B72" s="33" t="str">
        <f>IF($A72="","",EDATE(Settings!$B$4,$A72-1))</f>
        <v/>
      </c>
      <c r="C72" s="38"/>
      <c r="D72" s="38"/>
      <c r="E72" s="34"/>
      <c r="F72" s="34"/>
      <c r="G72" s="36" t="str">
        <f t="shared" si="6"/>
        <v/>
      </c>
    </row>
    <row r="73" spans="1:7" x14ac:dyDescent="0.35">
      <c r="A73" s="34"/>
      <c r="B73" s="33" t="str">
        <f>IF($A73="","",EDATE(Settings!$B$4,$A73-1))</f>
        <v/>
      </c>
      <c r="C73" s="38"/>
      <c r="D73" s="38"/>
      <c r="E73" s="34"/>
      <c r="F73" s="34"/>
      <c r="G73" s="36" t="str">
        <f t="shared" si="6"/>
        <v/>
      </c>
    </row>
    <row r="74" spans="1:7" x14ac:dyDescent="0.35">
      <c r="A74" s="34"/>
      <c r="B74" s="33" t="str">
        <f>IF($A74="","",EDATE(Settings!$B$4,$A74-1))</f>
        <v/>
      </c>
      <c r="C74" s="38"/>
      <c r="D74" s="38"/>
      <c r="E74" s="34"/>
      <c r="F74" s="34"/>
      <c r="G74" s="36" t="str">
        <f t="shared" si="6"/>
        <v/>
      </c>
    </row>
    <row r="75" spans="1:7" x14ac:dyDescent="0.35">
      <c r="A75" s="34"/>
      <c r="B75" s="33" t="str">
        <f>IF($A75="","",EDATE(Settings!$B$4,$A75-1))</f>
        <v/>
      </c>
      <c r="C75" s="38"/>
      <c r="D75" s="38"/>
      <c r="E75" s="34"/>
      <c r="F75" s="34"/>
      <c r="G75" s="36" t="str">
        <f t="shared" si="6"/>
        <v/>
      </c>
    </row>
    <row r="76" spans="1:7" x14ac:dyDescent="0.35">
      <c r="A76" s="34"/>
      <c r="B76" s="33" t="str">
        <f>IF($A76="","",EDATE(Settings!$B$4,$A76-1))</f>
        <v/>
      </c>
      <c r="C76" s="38"/>
      <c r="D76" s="38"/>
      <c r="E76" s="34"/>
      <c r="F76" s="34"/>
      <c r="G76" s="36" t="str">
        <f t="shared" si="6"/>
        <v/>
      </c>
    </row>
    <row r="77" spans="1:7" x14ac:dyDescent="0.35">
      <c r="A77" s="34"/>
      <c r="B77" s="33" t="str">
        <f>IF($A77="","",EDATE(Settings!$B$4,$A77-1))</f>
        <v/>
      </c>
      <c r="C77" s="38"/>
      <c r="D77" s="38"/>
      <c r="E77" s="34"/>
      <c r="F77" s="34"/>
      <c r="G77" s="36" t="str">
        <f t="shared" si="6"/>
        <v/>
      </c>
    </row>
    <row r="78" spans="1:7" x14ac:dyDescent="0.35">
      <c r="A78" s="34"/>
      <c r="B78" s="33" t="str">
        <f>IF($A78="","",EDATE(Settings!$B$4,$A78-1))</f>
        <v/>
      </c>
      <c r="C78" s="38"/>
      <c r="D78" s="38"/>
      <c r="E78" s="34"/>
      <c r="F78" s="34"/>
      <c r="G78" s="36" t="str">
        <f t="shared" si="6"/>
        <v/>
      </c>
    </row>
    <row r="79" spans="1:7" x14ac:dyDescent="0.35">
      <c r="A79" s="34"/>
      <c r="B79" s="33" t="str">
        <f>IF($A79="","",EDATE(Settings!$B$4,$A79-1))</f>
        <v/>
      </c>
      <c r="C79" s="38"/>
      <c r="D79" s="38"/>
      <c r="E79" s="34"/>
      <c r="F79" s="34"/>
      <c r="G79" s="36" t="str">
        <f t="shared" si="6"/>
        <v/>
      </c>
    </row>
    <row r="80" spans="1:7" x14ac:dyDescent="0.35">
      <c r="A80" s="34"/>
      <c r="B80" s="33" t="str">
        <f>IF($A80="","",EDATE(Settings!$B$4,$A80-1))</f>
        <v/>
      </c>
      <c r="C80" s="38"/>
      <c r="D80" s="38"/>
      <c r="E80" s="34"/>
      <c r="F80" s="34"/>
      <c r="G80" s="36" t="str">
        <f t="shared" si="6"/>
        <v/>
      </c>
    </row>
    <row r="81" spans="1:7" x14ac:dyDescent="0.35">
      <c r="A81" s="34"/>
      <c r="B81" s="33" t="str">
        <f>IF($A81="","",EDATE(Settings!$B$4,$A81-1))</f>
        <v/>
      </c>
      <c r="C81" s="38"/>
      <c r="D81" s="38"/>
      <c r="E81" s="34"/>
      <c r="F81" s="34"/>
      <c r="G81" s="36" t="str">
        <f t="shared" si="6"/>
        <v/>
      </c>
    </row>
    <row r="82" spans="1:7" x14ac:dyDescent="0.35">
      <c r="A82" s="34"/>
      <c r="B82" s="33" t="str">
        <f>IF($A82="","",EDATE(Settings!$B$4,$A82-1))</f>
        <v/>
      </c>
      <c r="C82" s="38"/>
      <c r="D82" s="38"/>
      <c r="E82" s="34"/>
      <c r="F82" s="34"/>
      <c r="G82" s="36" t="str">
        <f t="shared" si="6"/>
        <v/>
      </c>
    </row>
    <row r="83" spans="1:7" x14ac:dyDescent="0.35">
      <c r="A83" s="34"/>
      <c r="B83" s="33" t="str">
        <f>IF($A83="","",EDATE(Settings!$B$4,$A83-1))</f>
        <v/>
      </c>
      <c r="C83" s="38"/>
      <c r="D83" s="38"/>
      <c r="E83" s="34"/>
      <c r="F83" s="34"/>
      <c r="G83" s="36" t="str">
        <f t="shared" si="6"/>
        <v/>
      </c>
    </row>
    <row r="84" spans="1:7" x14ac:dyDescent="0.35">
      <c r="A84" s="34"/>
      <c r="B84" s="33" t="str">
        <f>IF($A84="","",EDATE(Settings!$B$4,$A84-1))</f>
        <v/>
      </c>
      <c r="C84" s="38"/>
      <c r="D84" s="38"/>
      <c r="E84" s="34"/>
      <c r="F84" s="34"/>
      <c r="G84" s="36" t="str">
        <f t="shared" si="6"/>
        <v/>
      </c>
    </row>
    <row r="85" spans="1:7" x14ac:dyDescent="0.35">
      <c r="A85" s="34"/>
      <c r="B85" s="33" t="str">
        <f>IF($A85="","",EDATE(Settings!$B$4,$A85-1))</f>
        <v/>
      </c>
      <c r="C85" s="38"/>
      <c r="D85" s="38"/>
      <c r="E85" s="34"/>
      <c r="F85" s="34"/>
      <c r="G85" s="36" t="str">
        <f t="shared" si="6"/>
        <v/>
      </c>
    </row>
    <row r="86" spans="1:7" x14ac:dyDescent="0.35">
      <c r="A86" s="34"/>
      <c r="B86" s="33" t="str">
        <f>IF($A86="","",EDATE(Settings!$B$4,$A86-1))</f>
        <v/>
      </c>
      <c r="C86" s="38"/>
      <c r="D86" s="38"/>
      <c r="E86" s="34"/>
      <c r="F86" s="34"/>
      <c r="G86" s="36" t="str">
        <f t="shared" si="6"/>
        <v/>
      </c>
    </row>
    <row r="87" spans="1:7" x14ac:dyDescent="0.35">
      <c r="A87" s="34"/>
      <c r="B87" s="33" t="str">
        <f>IF($A87="","",EDATE(Settings!$B$4,$A87-1))</f>
        <v/>
      </c>
      <c r="C87" s="38"/>
      <c r="D87" s="38"/>
      <c r="E87" s="34"/>
      <c r="F87" s="34"/>
      <c r="G87" s="36" t="str">
        <f t="shared" si="6"/>
        <v/>
      </c>
    </row>
    <row r="88" spans="1:7" x14ac:dyDescent="0.35">
      <c r="A88" s="34"/>
      <c r="B88" s="33" t="str">
        <f>IF($A88="","",EDATE(Settings!$B$4,$A88-1))</f>
        <v/>
      </c>
      <c r="C88" s="38"/>
      <c r="D88" s="38"/>
      <c r="E88" s="34"/>
      <c r="F88" s="34"/>
      <c r="G88" s="36" t="str">
        <f t="shared" si="6"/>
        <v/>
      </c>
    </row>
    <row r="89" spans="1:7" x14ac:dyDescent="0.35">
      <c r="A89" s="34"/>
      <c r="B89" s="33" t="str">
        <f>IF($A89="","",EDATE(Settings!$B$4,$A89-1))</f>
        <v/>
      </c>
      <c r="C89" s="38"/>
      <c r="D89" s="38"/>
      <c r="E89" s="34"/>
      <c r="F89" s="34"/>
      <c r="G89" s="36" t="str">
        <f t="shared" si="6"/>
        <v/>
      </c>
    </row>
    <row r="90" spans="1:7" x14ac:dyDescent="0.35">
      <c r="A90" s="34"/>
      <c r="B90" s="33" t="str">
        <f>IF($A90="","",EDATE(Settings!$B$4,$A90-1))</f>
        <v/>
      </c>
      <c r="C90" s="38"/>
      <c r="D90" s="38"/>
      <c r="E90" s="34"/>
      <c r="F90" s="34"/>
      <c r="G90" s="36" t="str">
        <f t="shared" si="6"/>
        <v/>
      </c>
    </row>
    <row r="91" spans="1:7" x14ac:dyDescent="0.35">
      <c r="A91" s="34"/>
      <c r="B91" s="33" t="str">
        <f>IF($A91="","",EDATE(Settings!$B$4,$A91-1))</f>
        <v/>
      </c>
      <c r="C91" s="38"/>
      <c r="D91" s="38"/>
      <c r="E91" s="34"/>
      <c r="F91" s="34"/>
      <c r="G91" s="36" t="str">
        <f t="shared" si="6"/>
        <v/>
      </c>
    </row>
    <row r="92" spans="1:7" x14ac:dyDescent="0.35">
      <c r="A92" s="34"/>
      <c r="B92" s="33" t="str">
        <f>IF($A92="","",EDATE(Settings!$B$4,$A92-1))</f>
        <v/>
      </c>
      <c r="C92" s="38"/>
      <c r="D92" s="38"/>
      <c r="E92" s="34"/>
      <c r="F92" s="34"/>
      <c r="G92" s="36" t="str">
        <f t="shared" si="6"/>
        <v/>
      </c>
    </row>
    <row r="93" spans="1:7" x14ac:dyDescent="0.35">
      <c r="A93" s="34"/>
      <c r="B93" s="33" t="str">
        <f>IF($A93="","",EDATE(Settings!$B$4,$A93-1))</f>
        <v/>
      </c>
      <c r="C93" s="38"/>
      <c r="D93" s="38"/>
      <c r="E93" s="34"/>
      <c r="F93" s="34"/>
      <c r="G93" s="36" t="str">
        <f t="shared" si="6"/>
        <v/>
      </c>
    </row>
    <row r="94" spans="1:7" x14ac:dyDescent="0.35">
      <c r="A94" s="34"/>
      <c r="B94" s="33" t="str">
        <f>IF($A94="","",EDATE(Settings!$B$4,$A94-1))</f>
        <v/>
      </c>
      <c r="C94" s="38"/>
      <c r="D94" s="38"/>
      <c r="E94" s="34"/>
      <c r="F94" s="34"/>
      <c r="G94" s="36" t="str">
        <f t="shared" si="6"/>
        <v/>
      </c>
    </row>
    <row r="95" spans="1:7" x14ac:dyDescent="0.35">
      <c r="A95" s="34"/>
      <c r="B95" s="33" t="str">
        <f>IF($A95="","",EDATE(Settings!$B$4,$A95-1))</f>
        <v/>
      </c>
      <c r="C95" s="38"/>
      <c r="D95" s="38"/>
      <c r="E95" s="34"/>
      <c r="F95" s="34"/>
      <c r="G95" s="36" t="str">
        <f t="shared" si="6"/>
        <v/>
      </c>
    </row>
    <row r="96" spans="1:7" x14ac:dyDescent="0.35">
      <c r="A96" s="34"/>
      <c r="B96" s="33" t="str">
        <f>IF($A96="","",EDATE(Settings!$B$4,$A96-1))</f>
        <v/>
      </c>
      <c r="C96" s="38"/>
      <c r="D96" s="38"/>
      <c r="E96" s="34"/>
      <c r="F96" s="34"/>
      <c r="G96" s="36" t="str">
        <f t="shared" si="6"/>
        <v/>
      </c>
    </row>
    <row r="97" spans="1:7" x14ac:dyDescent="0.35">
      <c r="A97" s="34"/>
      <c r="B97" s="33" t="str">
        <f>IF($A97="","",EDATE(Settings!$B$4,$A97-1))</f>
        <v/>
      </c>
      <c r="C97" s="38"/>
      <c r="D97" s="38"/>
      <c r="E97" s="34"/>
      <c r="F97" s="34"/>
      <c r="G97" s="36" t="str">
        <f t="shared" si="6"/>
        <v/>
      </c>
    </row>
    <row r="98" spans="1:7" x14ac:dyDescent="0.35">
      <c r="A98" s="34"/>
      <c r="B98" s="33" t="str">
        <f>IF($A98="","",EDATE(Settings!$B$4,$A98-1))</f>
        <v/>
      </c>
      <c r="C98" s="38"/>
      <c r="D98" s="38"/>
      <c r="E98" s="34"/>
      <c r="F98" s="34"/>
      <c r="G98" s="36" t="str">
        <f t="shared" si="6"/>
        <v/>
      </c>
    </row>
    <row r="99" spans="1:7" x14ac:dyDescent="0.35">
      <c r="A99" s="34"/>
      <c r="B99" s="33" t="str">
        <f>IF($A99="","",EDATE(Settings!$B$4,$A99-1))</f>
        <v/>
      </c>
      <c r="C99" s="38"/>
      <c r="D99" s="38"/>
      <c r="E99" s="34"/>
      <c r="F99" s="34"/>
      <c r="G99" s="36" t="str">
        <f t="shared" si="6"/>
        <v/>
      </c>
    </row>
    <row r="100" spans="1:7" x14ac:dyDescent="0.35">
      <c r="A100" s="34"/>
      <c r="B100" s="33" t="str">
        <f>IF($A100="","",EDATE(Settings!$B$4,$A100-1))</f>
        <v/>
      </c>
      <c r="C100" s="38"/>
      <c r="D100" s="38"/>
      <c r="E100" s="34"/>
      <c r="F100" s="34"/>
      <c r="G100" s="36" t="str">
        <f t="shared" si="6"/>
        <v/>
      </c>
    </row>
    <row r="101" spans="1:7" x14ac:dyDescent="0.35">
      <c r="A101" s="34"/>
      <c r="B101" s="33" t="str">
        <f>IF($A101="","",EDATE(Settings!$B$4,$A101-1))</f>
        <v/>
      </c>
      <c r="C101" s="38"/>
      <c r="D101" s="38"/>
      <c r="E101" s="34"/>
      <c r="F101" s="34"/>
      <c r="G101" s="36" t="str">
        <f t="shared" si="6"/>
        <v/>
      </c>
    </row>
    <row r="102" spans="1:7" x14ac:dyDescent="0.35">
      <c r="A102" s="34"/>
      <c r="B102" s="33" t="str">
        <f>IF($A102="","",EDATE(Settings!$B$4,$A102-1))</f>
        <v/>
      </c>
      <c r="C102" s="38"/>
      <c r="D102" s="38"/>
      <c r="E102" s="34"/>
      <c r="F102" s="34"/>
      <c r="G102" s="36" t="str">
        <f t="shared" ref="G102:G133" si="7">IF(N(E102)&gt;0,F102/E102,"")</f>
        <v/>
      </c>
    </row>
    <row r="103" spans="1:7" x14ac:dyDescent="0.35">
      <c r="A103" s="34"/>
      <c r="B103" s="33" t="str">
        <f>IF($A103="","",EDATE(Settings!$B$4,$A103-1))</f>
        <v/>
      </c>
      <c r="C103" s="38"/>
      <c r="D103" s="38"/>
      <c r="E103" s="34"/>
      <c r="F103" s="34"/>
      <c r="G103" s="36" t="str">
        <f t="shared" si="7"/>
        <v/>
      </c>
    </row>
    <row r="104" spans="1:7" x14ac:dyDescent="0.35">
      <c r="A104" s="34"/>
      <c r="B104" s="33" t="str">
        <f>IF($A104="","",EDATE(Settings!$B$4,$A104-1))</f>
        <v/>
      </c>
      <c r="C104" s="38"/>
      <c r="D104" s="38"/>
      <c r="E104" s="34"/>
      <c r="F104" s="34"/>
      <c r="G104" s="36" t="str">
        <f t="shared" si="7"/>
        <v/>
      </c>
    </row>
    <row r="105" spans="1:7" x14ac:dyDescent="0.35">
      <c r="A105" s="34"/>
      <c r="B105" s="33" t="str">
        <f>IF($A105="","",EDATE(Settings!$B$4,$A105-1))</f>
        <v/>
      </c>
      <c r="C105" s="38"/>
      <c r="D105" s="38"/>
      <c r="E105" s="34"/>
      <c r="F105" s="34"/>
      <c r="G105" s="36" t="str">
        <f t="shared" si="7"/>
        <v/>
      </c>
    </row>
    <row r="106" spans="1:7" x14ac:dyDescent="0.35">
      <c r="A106" s="34"/>
      <c r="B106" s="33" t="str">
        <f>IF($A106="","",EDATE(Settings!$B$4,$A106-1))</f>
        <v/>
      </c>
      <c r="C106" s="38"/>
      <c r="D106" s="38"/>
      <c r="E106" s="34"/>
      <c r="F106" s="34"/>
      <c r="G106" s="36" t="str">
        <f t="shared" si="7"/>
        <v/>
      </c>
    </row>
    <row r="107" spans="1:7" x14ac:dyDescent="0.35">
      <c r="A107" s="34"/>
      <c r="B107" s="33" t="str">
        <f>IF($A107="","",EDATE(Settings!$B$4,$A107-1))</f>
        <v/>
      </c>
      <c r="C107" s="38"/>
      <c r="D107" s="38"/>
      <c r="E107" s="34"/>
      <c r="F107" s="34"/>
      <c r="G107" s="36" t="str">
        <f t="shared" si="7"/>
        <v/>
      </c>
    </row>
    <row r="108" spans="1:7" x14ac:dyDescent="0.35">
      <c r="A108" s="34"/>
      <c r="B108" s="33" t="str">
        <f>IF($A108="","",EDATE(Settings!$B$4,$A108-1))</f>
        <v/>
      </c>
      <c r="C108" s="38"/>
      <c r="D108" s="38"/>
      <c r="E108" s="34"/>
      <c r="F108" s="34"/>
      <c r="G108" s="36" t="str">
        <f t="shared" si="7"/>
        <v/>
      </c>
    </row>
    <row r="109" spans="1:7" x14ac:dyDescent="0.35">
      <c r="A109" s="34"/>
      <c r="B109" s="33" t="str">
        <f>IF($A109="","",EDATE(Settings!$B$4,$A109-1))</f>
        <v/>
      </c>
      <c r="C109" s="38"/>
      <c r="D109" s="38"/>
      <c r="E109" s="34"/>
      <c r="F109" s="34"/>
      <c r="G109" s="36" t="str">
        <f t="shared" si="7"/>
        <v/>
      </c>
    </row>
    <row r="110" spans="1:7" x14ac:dyDescent="0.35">
      <c r="A110" s="34"/>
      <c r="B110" s="33" t="str">
        <f>IF($A110="","",EDATE(Settings!$B$4,$A110-1))</f>
        <v/>
      </c>
      <c r="C110" s="38"/>
      <c r="D110" s="38"/>
      <c r="E110" s="34"/>
      <c r="F110" s="34"/>
      <c r="G110" s="36" t="str">
        <f t="shared" si="7"/>
        <v/>
      </c>
    </row>
    <row r="111" spans="1:7" x14ac:dyDescent="0.35">
      <c r="A111" s="34"/>
      <c r="B111" s="33" t="str">
        <f>IF($A111="","",EDATE(Settings!$B$4,$A111-1))</f>
        <v/>
      </c>
      <c r="C111" s="38"/>
      <c r="D111" s="38"/>
      <c r="E111" s="34"/>
      <c r="F111" s="34"/>
      <c r="G111" s="36" t="str">
        <f t="shared" si="7"/>
        <v/>
      </c>
    </row>
    <row r="112" spans="1:7" x14ac:dyDescent="0.35">
      <c r="A112" s="34"/>
      <c r="B112" s="33" t="str">
        <f>IF($A112="","",EDATE(Settings!$B$4,$A112-1))</f>
        <v/>
      </c>
      <c r="C112" s="38"/>
      <c r="D112" s="38"/>
      <c r="E112" s="34"/>
      <c r="F112" s="34"/>
      <c r="G112" s="36" t="str">
        <f t="shared" si="7"/>
        <v/>
      </c>
    </row>
    <row r="113" spans="1:7" x14ac:dyDescent="0.35">
      <c r="A113" s="34"/>
      <c r="B113" s="33" t="str">
        <f>IF($A113="","",EDATE(Settings!$B$4,$A113-1))</f>
        <v/>
      </c>
      <c r="C113" s="38"/>
      <c r="D113" s="38"/>
      <c r="E113" s="34"/>
      <c r="F113" s="34"/>
      <c r="G113" s="36" t="str">
        <f t="shared" si="7"/>
        <v/>
      </c>
    </row>
    <row r="114" spans="1:7" x14ac:dyDescent="0.35">
      <c r="A114" s="34"/>
      <c r="B114" s="33" t="str">
        <f>IF($A114="","",EDATE(Settings!$B$4,$A114-1))</f>
        <v/>
      </c>
      <c r="C114" s="38"/>
      <c r="D114" s="38"/>
      <c r="E114" s="34"/>
      <c r="F114" s="34"/>
      <c r="G114" s="36" t="str">
        <f t="shared" si="7"/>
        <v/>
      </c>
    </row>
    <row r="115" spans="1:7" x14ac:dyDescent="0.35">
      <c r="A115" s="34"/>
      <c r="B115" s="33" t="str">
        <f>IF($A115="","",EDATE(Settings!$B$4,$A115-1))</f>
        <v/>
      </c>
      <c r="C115" s="38"/>
      <c r="D115" s="38"/>
      <c r="E115" s="34"/>
      <c r="F115" s="34"/>
      <c r="G115" s="36" t="str">
        <f t="shared" si="7"/>
        <v/>
      </c>
    </row>
    <row r="116" spans="1:7" x14ac:dyDescent="0.35">
      <c r="A116" s="34"/>
      <c r="B116" s="33" t="str">
        <f>IF($A116="","",EDATE(Settings!$B$4,$A116-1))</f>
        <v/>
      </c>
      <c r="C116" s="38"/>
      <c r="D116" s="38"/>
      <c r="E116" s="34"/>
      <c r="F116" s="34"/>
      <c r="G116" s="36" t="str">
        <f t="shared" si="7"/>
        <v/>
      </c>
    </row>
    <row r="117" spans="1:7" x14ac:dyDescent="0.35">
      <c r="A117" s="34"/>
      <c r="B117" s="33" t="str">
        <f>IF($A117="","",EDATE(Settings!$B$4,$A117-1))</f>
        <v/>
      </c>
      <c r="C117" s="38"/>
      <c r="D117" s="38"/>
      <c r="E117" s="34"/>
      <c r="F117" s="34"/>
      <c r="G117" s="36" t="str">
        <f t="shared" si="7"/>
        <v/>
      </c>
    </row>
    <row r="118" spans="1:7" x14ac:dyDescent="0.35">
      <c r="A118" s="34"/>
      <c r="B118" s="33" t="str">
        <f>IF($A118="","",EDATE(Settings!$B$4,$A118-1))</f>
        <v/>
      </c>
      <c r="C118" s="38"/>
      <c r="D118" s="38"/>
      <c r="E118" s="34"/>
      <c r="F118" s="34"/>
      <c r="G118" s="36" t="str">
        <f t="shared" si="7"/>
        <v/>
      </c>
    </row>
    <row r="119" spans="1:7" x14ac:dyDescent="0.35">
      <c r="A119" s="34"/>
      <c r="B119" s="33" t="str">
        <f>IF($A119="","",EDATE(Settings!$B$4,$A119-1))</f>
        <v/>
      </c>
      <c r="C119" s="38"/>
      <c r="D119" s="38"/>
      <c r="E119" s="34"/>
      <c r="F119" s="34"/>
      <c r="G119" s="36" t="str">
        <f t="shared" si="7"/>
        <v/>
      </c>
    </row>
    <row r="120" spans="1:7" x14ac:dyDescent="0.35">
      <c r="A120" s="34"/>
      <c r="B120" s="33" t="str">
        <f>IF($A120="","",EDATE(Settings!$B$4,$A120-1))</f>
        <v/>
      </c>
      <c r="C120" s="38"/>
      <c r="D120" s="38"/>
      <c r="E120" s="34"/>
      <c r="F120" s="34"/>
      <c r="G120" s="36" t="str">
        <f t="shared" si="7"/>
        <v/>
      </c>
    </row>
    <row r="121" spans="1:7" x14ac:dyDescent="0.35">
      <c r="A121" s="34"/>
      <c r="B121" s="33" t="str">
        <f>IF($A121="","",EDATE(Settings!$B$4,$A121-1))</f>
        <v/>
      </c>
      <c r="C121" s="38"/>
      <c r="D121" s="38"/>
      <c r="E121" s="34"/>
      <c r="F121" s="34"/>
      <c r="G121" s="36" t="str">
        <f t="shared" si="7"/>
        <v/>
      </c>
    </row>
    <row r="122" spans="1:7" x14ac:dyDescent="0.35">
      <c r="A122" s="34"/>
      <c r="B122" s="33" t="str">
        <f>IF($A122="","",EDATE(Settings!$B$4,$A122-1))</f>
        <v/>
      </c>
      <c r="C122" s="38"/>
      <c r="D122" s="38"/>
      <c r="E122" s="34"/>
      <c r="F122" s="34"/>
      <c r="G122" s="36" t="str">
        <f t="shared" si="7"/>
        <v/>
      </c>
    </row>
    <row r="123" spans="1:7" x14ac:dyDescent="0.35">
      <c r="A123" s="34"/>
      <c r="B123" s="33" t="str">
        <f>IF($A123="","",EDATE(Settings!$B$4,$A123-1))</f>
        <v/>
      </c>
      <c r="C123" s="38"/>
      <c r="D123" s="38"/>
      <c r="E123" s="34"/>
      <c r="F123" s="34"/>
      <c r="G123" s="36" t="str">
        <f t="shared" si="7"/>
        <v/>
      </c>
    </row>
    <row r="124" spans="1:7" x14ac:dyDescent="0.35">
      <c r="A124" s="34"/>
      <c r="B124" s="33" t="str">
        <f>IF($A124="","",EDATE(Settings!$B$4,$A124-1))</f>
        <v/>
      </c>
      <c r="C124" s="38"/>
      <c r="D124" s="38"/>
      <c r="E124" s="34"/>
      <c r="F124" s="34"/>
      <c r="G124" s="36" t="str">
        <f t="shared" si="7"/>
        <v/>
      </c>
    </row>
    <row r="125" spans="1:7" x14ac:dyDescent="0.35">
      <c r="A125" s="34"/>
      <c r="B125" s="33" t="str">
        <f>IF($A125="","",EDATE(Settings!$B$4,$A125-1))</f>
        <v/>
      </c>
      <c r="C125" s="38"/>
      <c r="D125" s="38"/>
      <c r="E125" s="34"/>
      <c r="F125" s="34"/>
      <c r="G125" s="36" t="str">
        <f t="shared" si="7"/>
        <v/>
      </c>
    </row>
    <row r="126" spans="1:7" x14ac:dyDescent="0.35">
      <c r="A126" s="34"/>
      <c r="B126" s="33" t="str">
        <f>IF($A126="","",EDATE(Settings!$B$4,$A126-1))</f>
        <v/>
      </c>
      <c r="C126" s="38"/>
      <c r="D126" s="38"/>
      <c r="E126" s="34"/>
      <c r="F126" s="34"/>
      <c r="G126" s="36" t="str">
        <f t="shared" si="7"/>
        <v/>
      </c>
    </row>
    <row r="127" spans="1:7" x14ac:dyDescent="0.35">
      <c r="A127" s="34"/>
      <c r="B127" s="33" t="str">
        <f>IF($A127="","",EDATE(Settings!$B$4,$A127-1))</f>
        <v/>
      </c>
      <c r="C127" s="38"/>
      <c r="D127" s="38"/>
      <c r="E127" s="34"/>
      <c r="F127" s="34"/>
      <c r="G127" s="36" t="str">
        <f t="shared" si="7"/>
        <v/>
      </c>
    </row>
    <row r="128" spans="1:7" x14ac:dyDescent="0.35">
      <c r="A128" s="34"/>
      <c r="B128" s="33" t="str">
        <f>IF($A128="","",EDATE(Settings!$B$4,$A128-1))</f>
        <v/>
      </c>
      <c r="C128" s="38"/>
      <c r="D128" s="38"/>
      <c r="E128" s="34"/>
      <c r="F128" s="34"/>
      <c r="G128" s="36" t="str">
        <f t="shared" si="7"/>
        <v/>
      </c>
    </row>
    <row r="129" spans="1:7" x14ac:dyDescent="0.35">
      <c r="A129" s="34"/>
      <c r="B129" s="33" t="str">
        <f>IF($A129="","",EDATE(Settings!$B$4,$A129-1))</f>
        <v/>
      </c>
      <c r="C129" s="38"/>
      <c r="D129" s="38"/>
      <c r="E129" s="34"/>
      <c r="F129" s="34"/>
      <c r="G129" s="36" t="str">
        <f t="shared" si="7"/>
        <v/>
      </c>
    </row>
    <row r="130" spans="1:7" x14ac:dyDescent="0.35">
      <c r="A130" s="34"/>
      <c r="B130" s="33" t="str">
        <f>IF($A130="","",EDATE(Settings!$B$4,$A130-1))</f>
        <v/>
      </c>
      <c r="C130" s="38"/>
      <c r="D130" s="38"/>
      <c r="E130" s="34"/>
      <c r="F130" s="34"/>
      <c r="G130" s="36" t="str">
        <f t="shared" si="7"/>
        <v/>
      </c>
    </row>
    <row r="131" spans="1:7" x14ac:dyDescent="0.35">
      <c r="A131" s="34"/>
      <c r="B131" s="33" t="str">
        <f>IF($A131="","",EDATE(Settings!$B$4,$A131-1))</f>
        <v/>
      </c>
      <c r="C131" s="38"/>
      <c r="D131" s="38"/>
      <c r="E131" s="34"/>
      <c r="F131" s="34"/>
      <c r="G131" s="36" t="str">
        <f t="shared" si="7"/>
        <v/>
      </c>
    </row>
    <row r="132" spans="1:7" x14ac:dyDescent="0.35">
      <c r="A132" s="34"/>
      <c r="B132" s="33" t="str">
        <f>IF($A132="","",EDATE(Settings!$B$4,$A132-1))</f>
        <v/>
      </c>
      <c r="C132" s="38"/>
      <c r="D132" s="38"/>
      <c r="E132" s="34"/>
      <c r="F132" s="34"/>
      <c r="G132" s="36" t="str">
        <f t="shared" si="7"/>
        <v/>
      </c>
    </row>
    <row r="133" spans="1:7" x14ac:dyDescent="0.35">
      <c r="A133" s="34"/>
      <c r="B133" s="33" t="str">
        <f>IF($A133="","",EDATE(Settings!$B$4,$A133-1))</f>
        <v/>
      </c>
      <c r="C133" s="38"/>
      <c r="D133" s="38"/>
      <c r="E133" s="34"/>
      <c r="F133" s="34"/>
      <c r="G133" s="36" t="str">
        <f t="shared" si="7"/>
        <v/>
      </c>
    </row>
    <row r="134" spans="1:7" x14ac:dyDescent="0.35">
      <c r="A134" s="34"/>
      <c r="B134" s="33" t="str">
        <f>IF($A134="","",EDATE(Settings!$B$4,$A134-1))</f>
        <v/>
      </c>
      <c r="C134" s="38"/>
      <c r="D134" s="38"/>
      <c r="E134" s="34"/>
      <c r="F134" s="34"/>
      <c r="G134" s="36" t="str">
        <f t="shared" ref="G134:G165" si="8">IF(N(E134)&gt;0,F134/E134,"")</f>
        <v/>
      </c>
    </row>
    <row r="135" spans="1:7" x14ac:dyDescent="0.35">
      <c r="A135" s="34"/>
      <c r="B135" s="33" t="str">
        <f>IF($A135="","",EDATE(Settings!$B$4,$A135-1))</f>
        <v/>
      </c>
      <c r="C135" s="38"/>
      <c r="D135" s="38"/>
      <c r="E135" s="34"/>
      <c r="F135" s="34"/>
      <c r="G135" s="36" t="str">
        <f t="shared" si="8"/>
        <v/>
      </c>
    </row>
    <row r="136" spans="1:7" x14ac:dyDescent="0.35">
      <c r="A136" s="34"/>
      <c r="B136" s="33" t="str">
        <f>IF($A136="","",EDATE(Settings!$B$4,$A136-1))</f>
        <v/>
      </c>
      <c r="C136" s="38"/>
      <c r="D136" s="38"/>
      <c r="E136" s="34"/>
      <c r="F136" s="34"/>
      <c r="G136" s="36" t="str">
        <f t="shared" si="8"/>
        <v/>
      </c>
    </row>
    <row r="137" spans="1:7" x14ac:dyDescent="0.35">
      <c r="A137" s="34"/>
      <c r="B137" s="33" t="str">
        <f>IF($A137="","",EDATE(Settings!$B$4,$A137-1))</f>
        <v/>
      </c>
      <c r="C137" s="38"/>
      <c r="D137" s="38"/>
      <c r="E137" s="34"/>
      <c r="F137" s="34"/>
      <c r="G137" s="36" t="str">
        <f t="shared" si="8"/>
        <v/>
      </c>
    </row>
    <row r="138" spans="1:7" x14ac:dyDescent="0.35">
      <c r="A138" s="34"/>
      <c r="B138" s="33" t="str">
        <f>IF($A138="","",EDATE(Settings!$B$4,$A138-1))</f>
        <v/>
      </c>
      <c r="C138" s="38"/>
      <c r="D138" s="38"/>
      <c r="E138" s="34"/>
      <c r="F138" s="34"/>
      <c r="G138" s="36" t="str">
        <f t="shared" si="8"/>
        <v/>
      </c>
    </row>
    <row r="139" spans="1:7" x14ac:dyDescent="0.35">
      <c r="A139" s="34"/>
      <c r="B139" s="33" t="str">
        <f>IF($A139="","",EDATE(Settings!$B$4,$A139-1))</f>
        <v/>
      </c>
      <c r="C139" s="38"/>
      <c r="D139" s="38"/>
      <c r="E139" s="34"/>
      <c r="F139" s="34"/>
      <c r="G139" s="36" t="str">
        <f t="shared" si="8"/>
        <v/>
      </c>
    </row>
    <row r="140" spans="1:7" x14ac:dyDescent="0.35">
      <c r="A140" s="34"/>
      <c r="B140" s="33" t="str">
        <f>IF($A140="","",EDATE(Settings!$B$4,$A140-1))</f>
        <v/>
      </c>
      <c r="C140" s="38"/>
      <c r="D140" s="38"/>
      <c r="E140" s="34"/>
      <c r="F140" s="34"/>
      <c r="G140" s="36" t="str">
        <f t="shared" si="8"/>
        <v/>
      </c>
    </row>
    <row r="141" spans="1:7" x14ac:dyDescent="0.35">
      <c r="A141" s="34"/>
      <c r="B141" s="33" t="str">
        <f>IF($A141="","",EDATE(Settings!$B$4,$A141-1))</f>
        <v/>
      </c>
      <c r="C141" s="38"/>
      <c r="D141" s="38"/>
      <c r="E141" s="34"/>
      <c r="F141" s="34"/>
      <c r="G141" s="36" t="str">
        <f t="shared" si="8"/>
        <v/>
      </c>
    </row>
    <row r="142" spans="1:7" x14ac:dyDescent="0.35">
      <c r="A142" s="34"/>
      <c r="B142" s="33" t="str">
        <f>IF($A142="","",EDATE(Settings!$B$4,$A142-1))</f>
        <v/>
      </c>
      <c r="C142" s="38"/>
      <c r="D142" s="38"/>
      <c r="E142" s="34"/>
      <c r="F142" s="34"/>
      <c r="G142" s="36" t="str">
        <f t="shared" si="8"/>
        <v/>
      </c>
    </row>
    <row r="143" spans="1:7" x14ac:dyDescent="0.35">
      <c r="A143" s="34"/>
      <c r="B143" s="33" t="str">
        <f>IF($A143="","",EDATE(Settings!$B$4,$A143-1))</f>
        <v/>
      </c>
      <c r="C143" s="38"/>
      <c r="D143" s="38"/>
      <c r="E143" s="34"/>
      <c r="F143" s="34"/>
      <c r="G143" s="36" t="str">
        <f t="shared" si="8"/>
        <v/>
      </c>
    </row>
    <row r="144" spans="1:7" x14ac:dyDescent="0.35">
      <c r="A144" s="34"/>
      <c r="B144" s="33" t="str">
        <f>IF($A144="","",EDATE(Settings!$B$4,$A144-1))</f>
        <v/>
      </c>
      <c r="C144" s="38"/>
      <c r="D144" s="38"/>
      <c r="E144" s="34"/>
      <c r="F144" s="34"/>
      <c r="G144" s="36" t="str">
        <f t="shared" si="8"/>
        <v/>
      </c>
    </row>
    <row r="145" spans="1:7" x14ac:dyDescent="0.35">
      <c r="A145" s="34"/>
      <c r="B145" s="33" t="str">
        <f>IF($A145="","",EDATE(Settings!$B$4,$A145-1))</f>
        <v/>
      </c>
      <c r="C145" s="38"/>
      <c r="D145" s="38"/>
      <c r="E145" s="34"/>
      <c r="F145" s="34"/>
      <c r="G145" s="36" t="str">
        <f t="shared" si="8"/>
        <v/>
      </c>
    </row>
    <row r="146" spans="1:7" x14ac:dyDescent="0.35">
      <c r="A146" s="34"/>
      <c r="B146" s="33" t="str">
        <f>IF($A146="","",EDATE(Settings!$B$4,$A146-1))</f>
        <v/>
      </c>
      <c r="C146" s="38"/>
      <c r="D146" s="38"/>
      <c r="E146" s="34"/>
      <c r="F146" s="34"/>
      <c r="G146" s="36" t="str">
        <f t="shared" si="8"/>
        <v/>
      </c>
    </row>
    <row r="147" spans="1:7" x14ac:dyDescent="0.35">
      <c r="A147" s="34"/>
      <c r="B147" s="33" t="str">
        <f>IF($A147="","",EDATE(Settings!$B$4,$A147-1))</f>
        <v/>
      </c>
      <c r="C147" s="38"/>
      <c r="D147" s="38"/>
      <c r="E147" s="34"/>
      <c r="F147" s="34"/>
      <c r="G147" s="36" t="str">
        <f t="shared" si="8"/>
        <v/>
      </c>
    </row>
    <row r="148" spans="1:7" x14ac:dyDescent="0.35">
      <c r="A148" s="34"/>
      <c r="B148" s="33" t="str">
        <f>IF($A148="","",EDATE(Settings!$B$4,$A148-1))</f>
        <v/>
      </c>
      <c r="C148" s="38"/>
      <c r="D148" s="38"/>
      <c r="E148" s="34"/>
      <c r="F148" s="34"/>
      <c r="G148" s="36" t="str">
        <f t="shared" si="8"/>
        <v/>
      </c>
    </row>
    <row r="149" spans="1:7" x14ac:dyDescent="0.35">
      <c r="A149" s="34"/>
      <c r="B149" s="33" t="str">
        <f>IF($A149="","",EDATE(Settings!$B$4,$A149-1))</f>
        <v/>
      </c>
      <c r="C149" s="38"/>
      <c r="D149" s="38"/>
      <c r="E149" s="34"/>
      <c r="F149" s="34"/>
      <c r="G149" s="36" t="str">
        <f t="shared" si="8"/>
        <v/>
      </c>
    </row>
    <row r="150" spans="1:7" x14ac:dyDescent="0.35">
      <c r="A150" s="34"/>
      <c r="B150" s="33" t="str">
        <f>IF($A150="","",EDATE(Settings!$B$4,$A150-1))</f>
        <v/>
      </c>
      <c r="C150" s="38"/>
      <c r="D150" s="38"/>
      <c r="E150" s="34"/>
      <c r="F150" s="34"/>
      <c r="G150" s="36" t="str">
        <f t="shared" si="8"/>
        <v/>
      </c>
    </row>
    <row r="151" spans="1:7" x14ac:dyDescent="0.35">
      <c r="A151" s="34"/>
      <c r="B151" s="33" t="str">
        <f>IF($A151="","",EDATE(Settings!$B$4,$A151-1))</f>
        <v/>
      </c>
      <c r="C151" s="38"/>
      <c r="D151" s="38"/>
      <c r="E151" s="34"/>
      <c r="F151" s="34"/>
      <c r="G151" s="36" t="str">
        <f t="shared" si="8"/>
        <v/>
      </c>
    </row>
    <row r="152" spans="1:7" x14ac:dyDescent="0.35">
      <c r="A152" s="34"/>
      <c r="B152" s="33" t="str">
        <f>IF($A152="","",EDATE(Settings!$B$4,$A152-1))</f>
        <v/>
      </c>
      <c r="C152" s="38"/>
      <c r="D152" s="38"/>
      <c r="E152" s="34"/>
      <c r="F152" s="34"/>
      <c r="G152" s="36" t="str">
        <f t="shared" si="8"/>
        <v/>
      </c>
    </row>
    <row r="153" spans="1:7" x14ac:dyDescent="0.35">
      <c r="A153" s="34"/>
      <c r="B153" s="33" t="str">
        <f>IF($A153="","",EDATE(Settings!$B$4,$A153-1))</f>
        <v/>
      </c>
      <c r="C153" s="38"/>
      <c r="D153" s="38"/>
      <c r="E153" s="34"/>
      <c r="F153" s="34"/>
      <c r="G153" s="36" t="str">
        <f t="shared" si="8"/>
        <v/>
      </c>
    </row>
    <row r="154" spans="1:7" x14ac:dyDescent="0.35">
      <c r="A154" s="34"/>
      <c r="B154" s="33" t="str">
        <f>IF($A154="","",EDATE(Settings!$B$4,$A154-1))</f>
        <v/>
      </c>
      <c r="C154" s="38"/>
      <c r="D154" s="38"/>
      <c r="E154" s="34"/>
      <c r="F154" s="34"/>
      <c r="G154" s="36" t="str">
        <f t="shared" si="8"/>
        <v/>
      </c>
    </row>
    <row r="155" spans="1:7" x14ac:dyDescent="0.35">
      <c r="A155" s="34"/>
      <c r="B155" s="33" t="str">
        <f>IF($A155="","",EDATE(Settings!$B$4,$A155-1))</f>
        <v/>
      </c>
      <c r="C155" s="38"/>
      <c r="D155" s="38"/>
      <c r="E155" s="34"/>
      <c r="F155" s="34"/>
      <c r="G155" s="36" t="str">
        <f t="shared" si="8"/>
        <v/>
      </c>
    </row>
    <row r="156" spans="1:7" x14ac:dyDescent="0.35">
      <c r="A156" s="34"/>
      <c r="B156" s="33" t="str">
        <f>IF($A156="","",EDATE(Settings!$B$4,$A156-1))</f>
        <v/>
      </c>
      <c r="C156" s="38"/>
      <c r="D156" s="38"/>
      <c r="E156" s="34"/>
      <c r="F156" s="34"/>
      <c r="G156" s="36" t="str">
        <f t="shared" si="8"/>
        <v/>
      </c>
    </row>
    <row r="157" spans="1:7" x14ac:dyDescent="0.35">
      <c r="A157" s="34"/>
      <c r="B157" s="33" t="str">
        <f>IF($A157="","",EDATE(Settings!$B$4,$A157-1))</f>
        <v/>
      </c>
      <c r="C157" s="38"/>
      <c r="D157" s="38"/>
      <c r="E157" s="34"/>
      <c r="F157" s="34"/>
      <c r="G157" s="36" t="str">
        <f t="shared" si="8"/>
        <v/>
      </c>
    </row>
    <row r="158" spans="1:7" x14ac:dyDescent="0.35">
      <c r="A158" s="34"/>
      <c r="B158" s="33" t="str">
        <f>IF($A158="","",EDATE(Settings!$B$4,$A158-1))</f>
        <v/>
      </c>
      <c r="C158" s="38"/>
      <c r="D158" s="38"/>
      <c r="E158" s="34"/>
      <c r="F158" s="34"/>
      <c r="G158" s="36" t="str">
        <f t="shared" si="8"/>
        <v/>
      </c>
    </row>
    <row r="159" spans="1:7" x14ac:dyDescent="0.35">
      <c r="A159" s="34"/>
      <c r="B159" s="33" t="str">
        <f>IF($A159="","",EDATE(Settings!$B$4,$A159-1))</f>
        <v/>
      </c>
      <c r="C159" s="38"/>
      <c r="D159" s="38"/>
      <c r="E159" s="34"/>
      <c r="F159" s="34"/>
      <c r="G159" s="36" t="str">
        <f t="shared" si="8"/>
        <v/>
      </c>
    </row>
    <row r="160" spans="1:7" x14ac:dyDescent="0.35">
      <c r="A160" s="34"/>
      <c r="B160" s="33" t="str">
        <f>IF($A160="","",EDATE(Settings!$B$4,$A160-1))</f>
        <v/>
      </c>
      <c r="C160" s="38"/>
      <c r="D160" s="38"/>
      <c r="E160" s="34"/>
      <c r="F160" s="34"/>
      <c r="G160" s="36" t="str">
        <f t="shared" si="8"/>
        <v/>
      </c>
    </row>
    <row r="161" spans="1:7" x14ac:dyDescent="0.35">
      <c r="A161" s="34"/>
      <c r="B161" s="33" t="str">
        <f>IF($A161="","",EDATE(Settings!$B$4,$A161-1))</f>
        <v/>
      </c>
      <c r="C161" s="38"/>
      <c r="D161" s="38"/>
      <c r="E161" s="34"/>
      <c r="F161" s="34"/>
      <c r="G161" s="36" t="str">
        <f t="shared" si="8"/>
        <v/>
      </c>
    </row>
    <row r="162" spans="1:7" x14ac:dyDescent="0.35">
      <c r="A162" s="34"/>
      <c r="B162" s="33" t="str">
        <f>IF($A162="","",EDATE(Settings!$B$4,$A162-1))</f>
        <v/>
      </c>
      <c r="C162" s="38"/>
      <c r="D162" s="38"/>
      <c r="E162" s="34"/>
      <c r="F162" s="34"/>
      <c r="G162" s="36" t="str">
        <f t="shared" si="8"/>
        <v/>
      </c>
    </row>
    <row r="163" spans="1:7" x14ac:dyDescent="0.35">
      <c r="A163" s="34"/>
      <c r="B163" s="33" t="str">
        <f>IF($A163="","",EDATE(Settings!$B$4,$A163-1))</f>
        <v/>
      </c>
      <c r="C163" s="38"/>
      <c r="D163" s="38"/>
      <c r="E163" s="34"/>
      <c r="F163" s="34"/>
      <c r="G163" s="36" t="str">
        <f t="shared" si="8"/>
        <v/>
      </c>
    </row>
    <row r="164" spans="1:7" x14ac:dyDescent="0.35">
      <c r="A164" s="34"/>
      <c r="B164" s="33" t="str">
        <f>IF($A164="","",EDATE(Settings!$B$4,$A164-1))</f>
        <v/>
      </c>
      <c r="C164" s="38"/>
      <c r="D164" s="38"/>
      <c r="E164" s="34"/>
      <c r="F164" s="34"/>
      <c r="G164" s="36" t="str">
        <f t="shared" si="8"/>
        <v/>
      </c>
    </row>
    <row r="165" spans="1:7" x14ac:dyDescent="0.35">
      <c r="A165" s="34"/>
      <c r="B165" s="33" t="str">
        <f>IF($A165="","",EDATE(Settings!$B$4,$A165-1))</f>
        <v/>
      </c>
      <c r="C165" s="38"/>
      <c r="D165" s="38"/>
      <c r="E165" s="34"/>
      <c r="F165" s="34"/>
      <c r="G165" s="36" t="str">
        <f t="shared" si="8"/>
        <v/>
      </c>
    </row>
    <row r="166" spans="1:7" x14ac:dyDescent="0.35">
      <c r="A166" s="34"/>
      <c r="B166" s="33" t="str">
        <f>IF($A166="","",EDATE(Settings!$B$4,$A166-1))</f>
        <v/>
      </c>
      <c r="C166" s="38"/>
      <c r="D166" s="38"/>
      <c r="E166" s="34"/>
      <c r="F166" s="34"/>
      <c r="G166" s="36" t="str">
        <f t="shared" ref="G166:G197" si="9">IF(N(E166)&gt;0,F166/E166,"")</f>
        <v/>
      </c>
    </row>
    <row r="167" spans="1:7" x14ac:dyDescent="0.35">
      <c r="A167" s="34"/>
      <c r="B167" s="33" t="str">
        <f>IF($A167="","",EDATE(Settings!$B$4,$A167-1))</f>
        <v/>
      </c>
      <c r="C167" s="38"/>
      <c r="D167" s="38"/>
      <c r="E167" s="34"/>
      <c r="F167" s="34"/>
      <c r="G167" s="36" t="str">
        <f t="shared" si="9"/>
        <v/>
      </c>
    </row>
    <row r="168" spans="1:7" x14ac:dyDescent="0.35">
      <c r="A168" s="34"/>
      <c r="B168" s="33" t="str">
        <f>IF($A168="","",EDATE(Settings!$B$4,$A168-1))</f>
        <v/>
      </c>
      <c r="C168" s="38"/>
      <c r="D168" s="38"/>
      <c r="E168" s="34"/>
      <c r="F168" s="34"/>
      <c r="G168" s="36" t="str">
        <f t="shared" si="9"/>
        <v/>
      </c>
    </row>
    <row r="169" spans="1:7" x14ac:dyDescent="0.35">
      <c r="A169" s="34"/>
      <c r="B169" s="33" t="str">
        <f>IF($A169="","",EDATE(Settings!$B$4,$A169-1))</f>
        <v/>
      </c>
      <c r="C169" s="38"/>
      <c r="D169" s="38"/>
      <c r="E169" s="34"/>
      <c r="F169" s="34"/>
      <c r="G169" s="36" t="str">
        <f t="shared" si="9"/>
        <v/>
      </c>
    </row>
    <row r="170" spans="1:7" x14ac:dyDescent="0.35">
      <c r="A170" s="34"/>
      <c r="B170" s="33" t="str">
        <f>IF($A170="","",EDATE(Settings!$B$4,$A170-1))</f>
        <v/>
      </c>
      <c r="C170" s="38"/>
      <c r="D170" s="38"/>
      <c r="E170" s="34"/>
      <c r="F170" s="34"/>
      <c r="G170" s="36" t="str">
        <f t="shared" si="9"/>
        <v/>
      </c>
    </row>
    <row r="171" spans="1:7" x14ac:dyDescent="0.35">
      <c r="A171" s="34"/>
      <c r="B171" s="33" t="str">
        <f>IF($A171="","",EDATE(Settings!$B$4,$A171-1))</f>
        <v/>
      </c>
      <c r="C171" s="38"/>
      <c r="D171" s="38"/>
      <c r="E171" s="34"/>
      <c r="F171" s="34"/>
      <c r="G171" s="36" t="str">
        <f t="shared" si="9"/>
        <v/>
      </c>
    </row>
    <row r="172" spans="1:7" x14ac:dyDescent="0.35">
      <c r="A172" s="34"/>
      <c r="B172" s="33" t="str">
        <f>IF($A172="","",EDATE(Settings!$B$4,$A172-1))</f>
        <v/>
      </c>
      <c r="C172" s="38"/>
      <c r="D172" s="38"/>
      <c r="E172" s="34"/>
      <c r="F172" s="34"/>
      <c r="G172" s="36" t="str">
        <f t="shared" si="9"/>
        <v/>
      </c>
    </row>
    <row r="173" spans="1:7" x14ac:dyDescent="0.35">
      <c r="A173" s="34"/>
      <c r="B173" s="33" t="str">
        <f>IF($A173="","",EDATE(Settings!$B$4,$A173-1))</f>
        <v/>
      </c>
      <c r="C173" s="38"/>
      <c r="D173" s="38"/>
      <c r="E173" s="34"/>
      <c r="F173" s="34"/>
      <c r="G173" s="36" t="str">
        <f t="shared" si="9"/>
        <v/>
      </c>
    </row>
    <row r="174" spans="1:7" x14ac:dyDescent="0.35">
      <c r="A174" s="34"/>
      <c r="B174" s="33" t="str">
        <f>IF($A174="","",EDATE(Settings!$B$4,$A174-1))</f>
        <v/>
      </c>
      <c r="C174" s="38"/>
      <c r="D174" s="38"/>
      <c r="E174" s="34"/>
      <c r="F174" s="34"/>
      <c r="G174" s="36" t="str">
        <f t="shared" si="9"/>
        <v/>
      </c>
    </row>
    <row r="175" spans="1:7" x14ac:dyDescent="0.35">
      <c r="A175" s="34"/>
      <c r="B175" s="33" t="str">
        <f>IF($A175="","",EDATE(Settings!$B$4,$A175-1))</f>
        <v/>
      </c>
      <c r="C175" s="38"/>
      <c r="D175" s="38"/>
      <c r="E175" s="34"/>
      <c r="F175" s="34"/>
      <c r="G175" s="36" t="str">
        <f t="shared" si="9"/>
        <v/>
      </c>
    </row>
    <row r="176" spans="1:7" x14ac:dyDescent="0.35">
      <c r="A176" s="34"/>
      <c r="B176" s="33" t="str">
        <f>IF($A176="","",EDATE(Settings!$B$4,$A176-1))</f>
        <v/>
      </c>
      <c r="C176" s="38"/>
      <c r="D176" s="38"/>
      <c r="E176" s="34"/>
      <c r="F176" s="34"/>
      <c r="G176" s="36" t="str">
        <f t="shared" si="9"/>
        <v/>
      </c>
    </row>
    <row r="177" spans="1:7" x14ac:dyDescent="0.35">
      <c r="A177" s="34"/>
      <c r="B177" s="33" t="str">
        <f>IF($A177="","",EDATE(Settings!$B$4,$A177-1))</f>
        <v/>
      </c>
      <c r="C177" s="38"/>
      <c r="D177" s="38"/>
      <c r="E177" s="34"/>
      <c r="F177" s="34"/>
      <c r="G177" s="36" t="str">
        <f t="shared" si="9"/>
        <v/>
      </c>
    </row>
    <row r="178" spans="1:7" x14ac:dyDescent="0.35">
      <c r="A178" s="34"/>
      <c r="B178" s="33" t="str">
        <f>IF($A178="","",EDATE(Settings!$B$4,$A178-1))</f>
        <v/>
      </c>
      <c r="C178" s="38"/>
      <c r="D178" s="38"/>
      <c r="E178" s="34"/>
      <c r="F178" s="34"/>
      <c r="G178" s="36" t="str">
        <f t="shared" si="9"/>
        <v/>
      </c>
    </row>
    <row r="179" spans="1:7" x14ac:dyDescent="0.35">
      <c r="A179" s="34"/>
      <c r="B179" s="33" t="str">
        <f>IF($A179="","",EDATE(Settings!$B$4,$A179-1))</f>
        <v/>
      </c>
      <c r="C179" s="38"/>
      <c r="D179" s="38"/>
      <c r="E179" s="34"/>
      <c r="F179" s="34"/>
      <c r="G179" s="36" t="str">
        <f t="shared" si="9"/>
        <v/>
      </c>
    </row>
    <row r="180" spans="1:7" x14ac:dyDescent="0.35">
      <c r="A180" s="34"/>
      <c r="B180" s="33" t="str">
        <f>IF($A180="","",EDATE(Settings!$B$4,$A180-1))</f>
        <v/>
      </c>
      <c r="C180" s="38"/>
      <c r="D180" s="38"/>
      <c r="E180" s="34"/>
      <c r="F180" s="34"/>
      <c r="G180" s="36" t="str">
        <f t="shared" si="9"/>
        <v/>
      </c>
    </row>
    <row r="181" spans="1:7" x14ac:dyDescent="0.35">
      <c r="A181" s="34"/>
      <c r="B181" s="33" t="str">
        <f>IF($A181="","",EDATE(Settings!$B$4,$A181-1))</f>
        <v/>
      </c>
      <c r="C181" s="38"/>
      <c r="D181" s="38"/>
      <c r="E181" s="34"/>
      <c r="F181" s="34"/>
      <c r="G181" s="36" t="str">
        <f t="shared" si="9"/>
        <v/>
      </c>
    </row>
    <row r="182" spans="1:7" x14ac:dyDescent="0.35">
      <c r="A182" s="34"/>
      <c r="B182" s="33" t="str">
        <f>IF($A182="","",EDATE(Settings!$B$4,$A182-1))</f>
        <v/>
      </c>
      <c r="C182" s="38"/>
      <c r="D182" s="38"/>
      <c r="E182" s="34"/>
      <c r="F182" s="34"/>
      <c r="G182" s="36" t="str">
        <f t="shared" si="9"/>
        <v/>
      </c>
    </row>
    <row r="183" spans="1:7" x14ac:dyDescent="0.35">
      <c r="A183" s="34"/>
      <c r="B183" s="33" t="str">
        <f>IF($A183="","",EDATE(Settings!$B$4,$A183-1))</f>
        <v/>
      </c>
      <c r="C183" s="38"/>
      <c r="D183" s="38"/>
      <c r="E183" s="34"/>
      <c r="F183" s="34"/>
      <c r="G183" s="36" t="str">
        <f t="shared" si="9"/>
        <v/>
      </c>
    </row>
    <row r="184" spans="1:7" x14ac:dyDescent="0.35">
      <c r="A184" s="34"/>
      <c r="B184" s="33" t="str">
        <f>IF($A184="","",EDATE(Settings!$B$4,$A184-1))</f>
        <v/>
      </c>
      <c r="C184" s="38"/>
      <c r="D184" s="38"/>
      <c r="E184" s="34"/>
      <c r="F184" s="34"/>
      <c r="G184" s="36" t="str">
        <f t="shared" si="9"/>
        <v/>
      </c>
    </row>
    <row r="185" spans="1:7" x14ac:dyDescent="0.35">
      <c r="A185" s="34"/>
      <c r="B185" s="33" t="str">
        <f>IF($A185="","",EDATE(Settings!$B$4,$A185-1))</f>
        <v/>
      </c>
      <c r="C185" s="38"/>
      <c r="D185" s="38"/>
      <c r="E185" s="34"/>
      <c r="F185" s="34"/>
      <c r="G185" s="36" t="str">
        <f t="shared" si="9"/>
        <v/>
      </c>
    </row>
    <row r="186" spans="1:7" x14ac:dyDescent="0.35">
      <c r="A186" s="34"/>
      <c r="B186" s="33" t="str">
        <f>IF($A186="","",EDATE(Settings!$B$4,$A186-1))</f>
        <v/>
      </c>
      <c r="C186" s="38"/>
      <c r="D186" s="38"/>
      <c r="E186" s="34"/>
      <c r="F186" s="34"/>
      <c r="G186" s="36" t="str">
        <f t="shared" si="9"/>
        <v/>
      </c>
    </row>
    <row r="187" spans="1:7" x14ac:dyDescent="0.35">
      <c r="A187" s="34"/>
      <c r="B187" s="33" t="str">
        <f>IF($A187="","",EDATE(Settings!$B$4,$A187-1))</f>
        <v/>
      </c>
      <c r="C187" s="38"/>
      <c r="D187" s="38"/>
      <c r="E187" s="34"/>
      <c r="F187" s="34"/>
      <c r="G187" s="36" t="str">
        <f t="shared" si="9"/>
        <v/>
      </c>
    </row>
    <row r="188" spans="1:7" x14ac:dyDescent="0.35">
      <c r="A188" s="34"/>
      <c r="B188" s="33" t="str">
        <f>IF($A188="","",EDATE(Settings!$B$4,$A188-1))</f>
        <v/>
      </c>
      <c r="C188" s="38"/>
      <c r="D188" s="38"/>
      <c r="E188" s="34"/>
      <c r="F188" s="34"/>
      <c r="G188" s="36" t="str">
        <f t="shared" si="9"/>
        <v/>
      </c>
    </row>
    <row r="189" spans="1:7" x14ac:dyDescent="0.35">
      <c r="A189" s="34"/>
      <c r="B189" s="33" t="str">
        <f>IF($A189="","",EDATE(Settings!$B$4,$A189-1))</f>
        <v/>
      </c>
      <c r="C189" s="38"/>
      <c r="D189" s="38"/>
      <c r="E189" s="34"/>
      <c r="F189" s="34"/>
      <c r="G189" s="36" t="str">
        <f t="shared" si="9"/>
        <v/>
      </c>
    </row>
    <row r="190" spans="1:7" x14ac:dyDescent="0.35">
      <c r="A190" s="34"/>
      <c r="B190" s="33" t="str">
        <f>IF($A190="","",EDATE(Settings!$B$4,$A190-1))</f>
        <v/>
      </c>
      <c r="C190" s="38"/>
      <c r="D190" s="38"/>
      <c r="E190" s="34"/>
      <c r="F190" s="34"/>
      <c r="G190" s="36" t="str">
        <f t="shared" si="9"/>
        <v/>
      </c>
    </row>
    <row r="191" spans="1:7" x14ac:dyDescent="0.35">
      <c r="A191" s="34"/>
      <c r="B191" s="33" t="str">
        <f>IF($A191="","",EDATE(Settings!$B$4,$A191-1))</f>
        <v/>
      </c>
      <c r="C191" s="38"/>
      <c r="D191" s="38"/>
      <c r="E191" s="34"/>
      <c r="F191" s="34"/>
      <c r="G191" s="36" t="str">
        <f t="shared" si="9"/>
        <v/>
      </c>
    </row>
    <row r="192" spans="1:7" x14ac:dyDescent="0.35">
      <c r="A192" s="34"/>
      <c r="B192" s="33" t="str">
        <f>IF($A192="","",EDATE(Settings!$B$4,$A192-1))</f>
        <v/>
      </c>
      <c r="C192" s="38"/>
      <c r="D192" s="38"/>
      <c r="E192" s="34"/>
      <c r="F192" s="34"/>
      <c r="G192" s="36" t="str">
        <f t="shared" si="9"/>
        <v/>
      </c>
    </row>
    <row r="193" spans="1:7" x14ac:dyDescent="0.35">
      <c r="A193" s="34"/>
      <c r="B193" s="33" t="str">
        <f>IF($A193="","",EDATE(Settings!$B$4,$A193-1))</f>
        <v/>
      </c>
      <c r="C193" s="38"/>
      <c r="D193" s="38"/>
      <c r="E193" s="34"/>
      <c r="F193" s="34"/>
      <c r="G193" s="36" t="str">
        <f t="shared" si="9"/>
        <v/>
      </c>
    </row>
    <row r="194" spans="1:7" x14ac:dyDescent="0.35">
      <c r="A194" s="34"/>
      <c r="B194" s="33" t="str">
        <f>IF($A194="","",EDATE(Settings!$B$4,$A194-1))</f>
        <v/>
      </c>
      <c r="C194" s="38"/>
      <c r="D194" s="38"/>
      <c r="E194" s="34"/>
      <c r="F194" s="34"/>
      <c r="G194" s="36" t="str">
        <f t="shared" si="9"/>
        <v/>
      </c>
    </row>
    <row r="195" spans="1:7" x14ac:dyDescent="0.35">
      <c r="A195" s="34"/>
      <c r="B195" s="33" t="str">
        <f>IF($A195="","",EDATE(Settings!$B$4,$A195-1))</f>
        <v/>
      </c>
      <c r="C195" s="38"/>
      <c r="D195" s="38"/>
      <c r="E195" s="34"/>
      <c r="F195" s="34"/>
      <c r="G195" s="36" t="str">
        <f t="shared" si="9"/>
        <v/>
      </c>
    </row>
    <row r="196" spans="1:7" x14ac:dyDescent="0.35">
      <c r="A196" s="34"/>
      <c r="B196" s="33" t="str">
        <f>IF($A196="","",EDATE(Settings!$B$4,$A196-1))</f>
        <v/>
      </c>
      <c r="C196" s="38"/>
      <c r="D196" s="38"/>
      <c r="E196" s="34"/>
      <c r="F196" s="34"/>
      <c r="G196" s="36" t="str">
        <f t="shared" si="9"/>
        <v/>
      </c>
    </row>
    <row r="197" spans="1:7" x14ac:dyDescent="0.35">
      <c r="A197" s="34"/>
      <c r="B197" s="33" t="str">
        <f>IF($A197="","",EDATE(Settings!$B$4,$A197-1))</f>
        <v/>
      </c>
      <c r="C197" s="38"/>
      <c r="D197" s="38"/>
      <c r="E197" s="34"/>
      <c r="F197" s="34"/>
      <c r="G197" s="36" t="str">
        <f t="shared" si="9"/>
        <v/>
      </c>
    </row>
    <row r="198" spans="1:7" x14ac:dyDescent="0.35">
      <c r="A198" s="34"/>
      <c r="B198" s="33" t="str">
        <f>IF($A198="","",EDATE(Settings!$B$4,$A198-1))</f>
        <v/>
      </c>
      <c r="C198" s="38"/>
      <c r="D198" s="38"/>
      <c r="E198" s="34"/>
      <c r="F198" s="34"/>
      <c r="G198" s="36" t="str">
        <f t="shared" ref="G198:G229" si="10">IF(N(E198)&gt;0,F198/E198,"")</f>
        <v/>
      </c>
    </row>
    <row r="199" spans="1:7" x14ac:dyDescent="0.35">
      <c r="A199" s="34"/>
      <c r="B199" s="33" t="str">
        <f>IF($A199="","",EDATE(Settings!$B$4,$A199-1))</f>
        <v/>
      </c>
      <c r="C199" s="38"/>
      <c r="D199" s="38"/>
      <c r="E199" s="34"/>
      <c r="F199" s="34"/>
      <c r="G199" s="36" t="str">
        <f t="shared" si="10"/>
        <v/>
      </c>
    </row>
    <row r="200" spans="1:7" x14ac:dyDescent="0.35">
      <c r="A200" s="34"/>
      <c r="B200" s="33" t="str">
        <f>IF($A200="","",EDATE(Settings!$B$4,$A200-1))</f>
        <v/>
      </c>
      <c r="C200" s="38"/>
      <c r="D200" s="38"/>
      <c r="E200" s="34"/>
      <c r="F200" s="34"/>
      <c r="G200" s="36" t="str">
        <f t="shared" si="10"/>
        <v/>
      </c>
    </row>
    <row r="201" spans="1:7" x14ac:dyDescent="0.35">
      <c r="A201" s="34"/>
      <c r="B201" s="33" t="str">
        <f>IF($A201="","",EDATE(Settings!$B$4,$A201-1))</f>
        <v/>
      </c>
      <c r="C201" s="38"/>
      <c r="D201" s="38"/>
      <c r="E201" s="34"/>
      <c r="F201" s="34"/>
      <c r="G201" s="36" t="str">
        <f t="shared" si="10"/>
        <v/>
      </c>
    </row>
    <row r="202" spans="1:7" x14ac:dyDescent="0.35">
      <c r="A202" s="34"/>
      <c r="B202" s="33" t="str">
        <f>IF($A202="","",EDATE(Settings!$B$4,$A202-1))</f>
        <v/>
      </c>
      <c r="C202" s="38"/>
      <c r="D202" s="38"/>
      <c r="E202" s="34"/>
      <c r="F202" s="34"/>
      <c r="G202" s="36" t="str">
        <f t="shared" si="10"/>
        <v/>
      </c>
    </row>
    <row r="203" spans="1:7" x14ac:dyDescent="0.35">
      <c r="A203" s="34"/>
      <c r="B203" s="33" t="str">
        <f>IF($A203="","",EDATE(Settings!$B$4,$A203-1))</f>
        <v/>
      </c>
      <c r="C203" s="38"/>
      <c r="D203" s="38"/>
      <c r="E203" s="34"/>
      <c r="F203" s="34"/>
      <c r="G203" s="36" t="str">
        <f t="shared" si="10"/>
        <v/>
      </c>
    </row>
    <row r="204" spans="1:7" x14ac:dyDescent="0.35">
      <c r="A204" s="34"/>
      <c r="B204" s="33" t="str">
        <f>IF($A204="","",EDATE(Settings!$B$4,$A204-1))</f>
        <v/>
      </c>
      <c r="C204" s="38"/>
      <c r="D204" s="38"/>
      <c r="E204" s="34"/>
      <c r="F204" s="34"/>
      <c r="G204" s="36" t="str">
        <f t="shared" si="10"/>
        <v/>
      </c>
    </row>
    <row r="205" spans="1:7" x14ac:dyDescent="0.35">
      <c r="A205" s="34"/>
      <c r="B205" s="33" t="str">
        <f>IF($A205="","",EDATE(Settings!$B$4,$A205-1))</f>
        <v/>
      </c>
      <c r="C205" s="38"/>
      <c r="D205" s="38"/>
      <c r="E205" s="34"/>
      <c r="F205" s="34"/>
      <c r="G205" s="36" t="str">
        <f t="shared" si="10"/>
        <v/>
      </c>
    </row>
  </sheetData>
  <conditionalFormatting sqref="J16:M22">
    <cfRule type="colorScale" priority="2">
      <colorScale>
        <cfvo type="num" val="0"/>
        <cfvo type="num" val="1"/>
        <color rgb="FFFFFFFF"/>
        <color rgb="FF63BE7B"/>
      </colorScale>
    </cfRule>
  </conditionalFormatting>
  <dataValidations count="2">
    <dataValidation type="decimal" operator="greaterThanOrEqual" allowBlank="1" error="Enter a number &gt;= 0" sqref="E6:F205" xr:uid="{00000000-0002-0000-0B00-000000000000}">
      <formula1>0</formula1>
      <formula2>0</formula2>
    </dataValidation>
    <dataValidation type="list" allowBlank="1" sqref="A6:A205" xr:uid="{00000000-0002-0000-0B00-000001000000}">
      <formula1>"1,2,3,4,5,6,7,8,9,10,11,12"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B00-000002000000}">
          <x14:formula1>
            <xm:f>Settings!$F$4:$F$10</xm:f>
          </x14:formula1>
          <x14:formula2>
            <xm:f>0</xm:f>
          </x14:formula2>
          <xm:sqref>C6:C205</xm:sqref>
        </x14:dataValidation>
        <x14:dataValidation type="list" allowBlank="1" xr:uid="{00000000-0002-0000-0B00-000003000000}">
          <x14:formula1>
            <xm:f>Settings!$G$4:$G$7</xm:f>
          </x14:formula1>
          <x14:formula2>
            <xm:f>0</xm:f>
          </x14:formula2>
          <xm:sqref>D6:D205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A259"/>
  </sheetPr>
  <dimension ref="A1:K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2" width="10" customWidth="1"/>
    <col min="3" max="3" width="12" customWidth="1"/>
    <col min="4" max="4" width="13" customWidth="1"/>
    <col min="5" max="5" width="12" customWidth="1"/>
    <col min="6" max="7" width="14" customWidth="1"/>
    <col min="8" max="8" width="11" customWidth="1"/>
    <col min="9" max="11" width="12" customWidth="1"/>
  </cols>
  <sheetData>
    <row r="1" spans="1:11" ht="18" x14ac:dyDescent="0.4">
      <c r="A1" s="8" t="s">
        <v>241</v>
      </c>
    </row>
    <row r="2" spans="1:11" x14ac:dyDescent="0.35">
      <c r="A2" s="9" t="s">
        <v>242</v>
      </c>
    </row>
    <row r="3" spans="1:11" x14ac:dyDescent="0.35">
      <c r="A3" s="31" t="s">
        <v>120</v>
      </c>
    </row>
    <row r="5" spans="1:11" ht="48" customHeight="1" x14ac:dyDescent="0.35">
      <c r="A5" s="19" t="s">
        <v>106</v>
      </c>
      <c r="B5" s="19" t="s">
        <v>107</v>
      </c>
      <c r="C5" s="19" t="s">
        <v>243</v>
      </c>
      <c r="D5" s="19" t="s">
        <v>244</v>
      </c>
      <c r="E5" s="19" t="s">
        <v>245</v>
      </c>
      <c r="F5" s="19" t="s">
        <v>246</v>
      </c>
      <c r="G5" s="19" t="s">
        <v>247</v>
      </c>
      <c r="H5" s="19" t="s">
        <v>248</v>
      </c>
      <c r="I5" s="19" t="s">
        <v>249</v>
      </c>
      <c r="J5" s="19" t="s">
        <v>250</v>
      </c>
      <c r="K5" s="19" t="s">
        <v>251</v>
      </c>
    </row>
    <row r="6" spans="1:11" x14ac:dyDescent="0.35">
      <c r="A6" s="32">
        <v>1</v>
      </c>
      <c r="B6" s="33">
        <f>EDATE(Settings!$B$4,$A6-1)</f>
        <v>46327</v>
      </c>
      <c r="C6" s="34">
        <v>1500</v>
      </c>
      <c r="D6" s="34">
        <v>1410</v>
      </c>
      <c r="E6" s="36">
        <f t="shared" ref="E6:E17" si="0">IF(N(C6)&gt;0,D6/C6,"")</f>
        <v>0.94</v>
      </c>
      <c r="F6" s="46">
        <v>36</v>
      </c>
      <c r="G6" s="37">
        <v>4.2</v>
      </c>
      <c r="H6" s="34">
        <v>5</v>
      </c>
      <c r="I6" s="15" t="str">
        <f>IF(E6="","",IF(E6&gt;=Settings!$B$13,"Yes","No"))</f>
        <v>No</v>
      </c>
      <c r="J6" s="15" t="str">
        <f>IF(F6="","",IF(F6&lt;Settings!$B$14,"Yes","No"))</f>
        <v>Yes</v>
      </c>
      <c r="K6" s="15" t="str">
        <f>IF(G6="","",IF(G6&gt;=Settings!$B$15,"Yes","No"))</f>
        <v>Yes</v>
      </c>
    </row>
    <row r="7" spans="1:11" x14ac:dyDescent="0.35">
      <c r="A7" s="32">
        <v>2</v>
      </c>
      <c r="B7" s="33">
        <f>EDATE(Settings!$B$4,$A7-1)</f>
        <v>46357</v>
      </c>
      <c r="C7" s="34"/>
      <c r="D7" s="34"/>
      <c r="E7" s="36" t="str">
        <f t="shared" si="0"/>
        <v/>
      </c>
      <c r="F7" s="46"/>
      <c r="G7" s="37"/>
      <c r="H7" s="34"/>
      <c r="I7" s="15" t="str">
        <f>IF(E7="","",IF(E7&gt;=Settings!$B$13,"Yes","No"))</f>
        <v/>
      </c>
      <c r="J7" s="15" t="str">
        <f>IF(F7="","",IF(F7&lt;Settings!$B$14,"Yes","No"))</f>
        <v/>
      </c>
      <c r="K7" s="15" t="str">
        <f>IF(G7="","",IF(G7&gt;=Settings!$B$15,"Yes","No"))</f>
        <v/>
      </c>
    </row>
    <row r="8" spans="1:11" x14ac:dyDescent="0.35">
      <c r="A8" s="32">
        <v>3</v>
      </c>
      <c r="B8" s="33">
        <f>EDATE(Settings!$B$4,$A8-1)</f>
        <v>46388</v>
      </c>
      <c r="C8" s="34"/>
      <c r="D8" s="34"/>
      <c r="E8" s="36" t="str">
        <f t="shared" si="0"/>
        <v/>
      </c>
      <c r="F8" s="46"/>
      <c r="G8" s="37"/>
      <c r="H8" s="34"/>
      <c r="I8" s="15" t="str">
        <f>IF(E8="","",IF(E8&gt;=Settings!$B$13,"Yes","No"))</f>
        <v/>
      </c>
      <c r="J8" s="15" t="str">
        <f>IF(F8="","",IF(F8&lt;Settings!$B$14,"Yes","No"))</f>
        <v/>
      </c>
      <c r="K8" s="15" t="str">
        <f>IF(G8="","",IF(G8&gt;=Settings!$B$15,"Yes","No"))</f>
        <v/>
      </c>
    </row>
    <row r="9" spans="1:11" x14ac:dyDescent="0.35">
      <c r="A9" s="32">
        <v>4</v>
      </c>
      <c r="B9" s="33">
        <f>EDATE(Settings!$B$4,$A9-1)</f>
        <v>46419</v>
      </c>
      <c r="C9" s="34"/>
      <c r="D9" s="34"/>
      <c r="E9" s="36" t="str">
        <f t="shared" si="0"/>
        <v/>
      </c>
      <c r="F9" s="46"/>
      <c r="G9" s="37"/>
      <c r="H9" s="34"/>
      <c r="I9" s="15" t="str">
        <f>IF(E9="","",IF(E9&gt;=Settings!$B$13,"Yes","No"))</f>
        <v/>
      </c>
      <c r="J9" s="15" t="str">
        <f>IF(F9="","",IF(F9&lt;Settings!$B$14,"Yes","No"))</f>
        <v/>
      </c>
      <c r="K9" s="15" t="str">
        <f>IF(G9="","",IF(G9&gt;=Settings!$B$15,"Yes","No"))</f>
        <v/>
      </c>
    </row>
    <row r="10" spans="1:11" x14ac:dyDescent="0.35">
      <c r="A10" s="32">
        <v>5</v>
      </c>
      <c r="B10" s="33">
        <f>EDATE(Settings!$B$4,$A10-1)</f>
        <v>46447</v>
      </c>
      <c r="C10" s="34"/>
      <c r="D10" s="34"/>
      <c r="E10" s="36" t="str">
        <f t="shared" si="0"/>
        <v/>
      </c>
      <c r="F10" s="46"/>
      <c r="G10" s="37"/>
      <c r="H10" s="34"/>
      <c r="I10" s="15" t="str">
        <f>IF(E10="","",IF(E10&gt;=Settings!$B$13,"Yes","No"))</f>
        <v/>
      </c>
      <c r="J10" s="15" t="str">
        <f>IF(F10="","",IF(F10&lt;Settings!$B$14,"Yes","No"))</f>
        <v/>
      </c>
      <c r="K10" s="15" t="str">
        <f>IF(G10="","",IF(G10&gt;=Settings!$B$15,"Yes","No"))</f>
        <v/>
      </c>
    </row>
    <row r="11" spans="1:11" x14ac:dyDescent="0.35">
      <c r="A11" s="32">
        <v>6</v>
      </c>
      <c r="B11" s="33">
        <f>EDATE(Settings!$B$4,$A11-1)</f>
        <v>46478</v>
      </c>
      <c r="C11" s="34"/>
      <c r="D11" s="34"/>
      <c r="E11" s="36" t="str">
        <f t="shared" si="0"/>
        <v/>
      </c>
      <c r="F11" s="46"/>
      <c r="G11" s="37"/>
      <c r="H11" s="34"/>
      <c r="I11" s="15" t="str">
        <f>IF(E11="","",IF(E11&gt;=Settings!$B$13,"Yes","No"))</f>
        <v/>
      </c>
      <c r="J11" s="15" t="str">
        <f>IF(F11="","",IF(F11&lt;Settings!$B$14,"Yes","No"))</f>
        <v/>
      </c>
      <c r="K11" s="15" t="str">
        <f>IF(G11="","",IF(G11&gt;=Settings!$B$15,"Yes","No"))</f>
        <v/>
      </c>
    </row>
    <row r="12" spans="1:11" x14ac:dyDescent="0.35">
      <c r="A12" s="32">
        <v>7</v>
      </c>
      <c r="B12" s="33">
        <f>EDATE(Settings!$B$4,$A12-1)</f>
        <v>46508</v>
      </c>
      <c r="C12" s="34"/>
      <c r="D12" s="34"/>
      <c r="E12" s="36" t="str">
        <f t="shared" si="0"/>
        <v/>
      </c>
      <c r="F12" s="46"/>
      <c r="G12" s="37"/>
      <c r="H12" s="34"/>
      <c r="I12" s="15" t="str">
        <f>IF(E12="","",IF(E12&gt;=Settings!$B$13,"Yes","No"))</f>
        <v/>
      </c>
      <c r="J12" s="15" t="str">
        <f>IF(F12="","",IF(F12&lt;Settings!$B$14,"Yes","No"))</f>
        <v/>
      </c>
      <c r="K12" s="15" t="str">
        <f>IF(G12="","",IF(G12&gt;=Settings!$B$15,"Yes","No"))</f>
        <v/>
      </c>
    </row>
    <row r="13" spans="1:11" x14ac:dyDescent="0.35">
      <c r="A13" s="32">
        <v>8</v>
      </c>
      <c r="B13" s="33">
        <f>EDATE(Settings!$B$4,$A13-1)</f>
        <v>46539</v>
      </c>
      <c r="C13" s="34"/>
      <c r="D13" s="34"/>
      <c r="E13" s="36" t="str">
        <f t="shared" si="0"/>
        <v/>
      </c>
      <c r="F13" s="46"/>
      <c r="G13" s="37"/>
      <c r="H13" s="34"/>
      <c r="I13" s="15" t="str">
        <f>IF(E13="","",IF(E13&gt;=Settings!$B$13,"Yes","No"))</f>
        <v/>
      </c>
      <c r="J13" s="15" t="str">
        <f>IF(F13="","",IF(F13&lt;Settings!$B$14,"Yes","No"))</f>
        <v/>
      </c>
      <c r="K13" s="15" t="str">
        <f>IF(G13="","",IF(G13&gt;=Settings!$B$15,"Yes","No"))</f>
        <v/>
      </c>
    </row>
    <row r="14" spans="1:11" x14ac:dyDescent="0.35">
      <c r="A14" s="32">
        <v>9</v>
      </c>
      <c r="B14" s="33">
        <f>EDATE(Settings!$B$4,$A14-1)</f>
        <v>46569</v>
      </c>
      <c r="C14" s="34"/>
      <c r="D14" s="34"/>
      <c r="E14" s="36" t="str">
        <f t="shared" si="0"/>
        <v/>
      </c>
      <c r="F14" s="46"/>
      <c r="G14" s="37"/>
      <c r="H14" s="34"/>
      <c r="I14" s="15" t="str">
        <f>IF(E14="","",IF(E14&gt;=Settings!$B$13,"Yes","No"))</f>
        <v/>
      </c>
      <c r="J14" s="15" t="str">
        <f>IF(F14="","",IF(F14&lt;Settings!$B$14,"Yes","No"))</f>
        <v/>
      </c>
      <c r="K14" s="15" t="str">
        <f>IF(G14="","",IF(G14&gt;=Settings!$B$15,"Yes","No"))</f>
        <v/>
      </c>
    </row>
    <row r="15" spans="1:11" x14ac:dyDescent="0.35">
      <c r="A15" s="32">
        <v>10</v>
      </c>
      <c r="B15" s="33">
        <f>EDATE(Settings!$B$4,$A15-1)</f>
        <v>46600</v>
      </c>
      <c r="C15" s="34"/>
      <c r="D15" s="34"/>
      <c r="E15" s="36" t="str">
        <f t="shared" si="0"/>
        <v/>
      </c>
      <c r="F15" s="46"/>
      <c r="G15" s="37"/>
      <c r="H15" s="34"/>
      <c r="I15" s="15" t="str">
        <f>IF(E15="","",IF(E15&gt;=Settings!$B$13,"Yes","No"))</f>
        <v/>
      </c>
      <c r="J15" s="15" t="str">
        <f>IF(F15="","",IF(F15&lt;Settings!$B$14,"Yes","No"))</f>
        <v/>
      </c>
      <c r="K15" s="15" t="str">
        <f>IF(G15="","",IF(G15&gt;=Settings!$B$15,"Yes","No"))</f>
        <v/>
      </c>
    </row>
    <row r="16" spans="1:11" x14ac:dyDescent="0.35">
      <c r="A16" s="32">
        <v>11</v>
      </c>
      <c r="B16" s="33">
        <f>EDATE(Settings!$B$4,$A16-1)</f>
        <v>46631</v>
      </c>
      <c r="C16" s="34"/>
      <c r="D16" s="34"/>
      <c r="E16" s="36" t="str">
        <f t="shared" si="0"/>
        <v/>
      </c>
      <c r="F16" s="46"/>
      <c r="G16" s="37"/>
      <c r="H16" s="34"/>
      <c r="I16" s="15" t="str">
        <f>IF(E16="","",IF(E16&gt;=Settings!$B$13,"Yes","No"))</f>
        <v/>
      </c>
      <c r="J16" s="15" t="str">
        <f>IF(F16="","",IF(F16&lt;Settings!$B$14,"Yes","No"))</f>
        <v/>
      </c>
      <c r="K16" s="15" t="str">
        <f>IF(G16="","",IF(G16&gt;=Settings!$B$15,"Yes","No"))</f>
        <v/>
      </c>
    </row>
    <row r="17" spans="1:11" x14ac:dyDescent="0.35">
      <c r="A17" s="32">
        <v>12</v>
      </c>
      <c r="B17" s="33">
        <f>EDATE(Settings!$B$4,$A17-1)</f>
        <v>46661</v>
      </c>
      <c r="C17" s="34"/>
      <c r="D17" s="34"/>
      <c r="E17" s="36" t="str">
        <f t="shared" si="0"/>
        <v/>
      </c>
      <c r="F17" s="46"/>
      <c r="G17" s="37"/>
      <c r="H17" s="34"/>
      <c r="I17" s="15" t="str">
        <f>IF(E17="","",IF(E17&gt;=Settings!$B$13,"Yes","No"))</f>
        <v/>
      </c>
      <c r="J17" s="15" t="str">
        <f>IF(F17="","",IF(F17&lt;Settings!$B$14,"Yes","No"))</f>
        <v/>
      </c>
      <c r="K17" s="15" t="str">
        <f>IF(G17="","",IF(G17&gt;=Settings!$B$15,"Yes","No"))</f>
        <v/>
      </c>
    </row>
  </sheetData>
  <dataValidations count="2">
    <dataValidation type="decimal" operator="greaterThanOrEqual" allowBlank="1" error="Enter a number &gt;= 0" sqref="C6:D17 F6:F17 H6:H17" xr:uid="{00000000-0002-0000-0C00-000000000000}">
      <formula1>0</formula1>
      <formula2>0</formula2>
    </dataValidation>
    <dataValidation type="decimal" allowBlank="1" error="Enter a score between 1 and 5" sqref="G6:G17" xr:uid="{00000000-0002-0000-0C00-000001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4A259"/>
  </sheetPr>
  <dimension ref="A1:J7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40" customWidth="1"/>
    <col min="2" max="2" width="24" customWidth="1"/>
    <col min="3" max="5" width="16" customWidth="1"/>
    <col min="6" max="7" width="14" customWidth="1"/>
    <col min="8" max="8" width="3" customWidth="1"/>
    <col min="9" max="9" width="40" customWidth="1"/>
    <col min="10" max="10" width="16" customWidth="1"/>
  </cols>
  <sheetData>
    <row r="1" spans="1:10" ht="18" x14ac:dyDescent="0.4">
      <c r="A1" s="8" t="s">
        <v>252</v>
      </c>
    </row>
    <row r="2" spans="1:10" x14ac:dyDescent="0.35">
      <c r="A2" s="9" t="s">
        <v>253</v>
      </c>
    </row>
    <row r="3" spans="1:10" x14ac:dyDescent="0.35">
      <c r="A3" s="31" t="s">
        <v>254</v>
      </c>
    </row>
    <row r="4" spans="1:10" x14ac:dyDescent="0.35">
      <c r="A4" s="39" t="s">
        <v>255</v>
      </c>
      <c r="I4" s="39" t="s">
        <v>256</v>
      </c>
    </row>
    <row r="5" spans="1:10" ht="30" customHeight="1" x14ac:dyDescent="0.35">
      <c r="A5" s="19" t="s">
        <v>257</v>
      </c>
      <c r="B5" s="19" t="s">
        <v>258</v>
      </c>
      <c r="C5" s="19" t="s">
        <v>259</v>
      </c>
      <c r="D5" s="19" t="s">
        <v>260</v>
      </c>
      <c r="E5" s="19" t="s">
        <v>261</v>
      </c>
      <c r="F5" s="19" t="s">
        <v>262</v>
      </c>
      <c r="G5" s="19" t="s">
        <v>57</v>
      </c>
    </row>
    <row r="6" spans="1:10" x14ac:dyDescent="0.35">
      <c r="A6" s="14" t="s">
        <v>263</v>
      </c>
      <c r="B6" s="47" t="s">
        <v>264</v>
      </c>
      <c r="C6" s="48">
        <v>46477</v>
      </c>
      <c r="D6" s="34">
        <v>50000</v>
      </c>
      <c r="E6" s="34">
        <v>20000</v>
      </c>
      <c r="F6" s="36">
        <f t="shared" ref="F6:F17" si="0">IF(N(D6)&gt;0,E6/D6,"")</f>
        <v>0.4</v>
      </c>
      <c r="G6" s="14" t="s">
        <v>265</v>
      </c>
      <c r="I6" s="41" t="s">
        <v>266</v>
      </c>
      <c r="J6" s="35">
        <f>SUM(D6:D17)</f>
        <v>50000</v>
      </c>
    </row>
    <row r="7" spans="1:10" x14ac:dyDescent="0.35">
      <c r="A7" s="14"/>
      <c r="B7" s="47"/>
      <c r="C7" s="48"/>
      <c r="D7" s="34"/>
      <c r="E7" s="34"/>
      <c r="F7" s="36" t="str">
        <f t="shared" si="0"/>
        <v/>
      </c>
      <c r="G7" s="14"/>
      <c r="I7" s="41" t="s">
        <v>267</v>
      </c>
      <c r="J7" s="35">
        <f>SUM(E6:E17)</f>
        <v>20000</v>
      </c>
    </row>
    <row r="8" spans="1:10" x14ac:dyDescent="0.35">
      <c r="A8" s="14"/>
      <c r="B8" s="47"/>
      <c r="C8" s="48"/>
      <c r="D8" s="34"/>
      <c r="E8" s="34"/>
      <c r="F8" s="36" t="str">
        <f t="shared" si="0"/>
        <v/>
      </c>
      <c r="G8" s="14"/>
      <c r="I8" s="41" t="s">
        <v>268</v>
      </c>
      <c r="J8" s="36">
        <f>IF(J6&gt;0,J7/J6,"")</f>
        <v>0.4</v>
      </c>
    </row>
    <row r="9" spans="1:10" x14ac:dyDescent="0.35">
      <c r="A9" s="14"/>
      <c r="B9" s="47"/>
      <c r="C9" s="48"/>
      <c r="D9" s="34"/>
      <c r="E9" s="34"/>
      <c r="F9" s="36" t="str">
        <f t="shared" si="0"/>
        <v/>
      </c>
      <c r="G9" s="14"/>
      <c r="I9" s="41" t="s">
        <v>269</v>
      </c>
      <c r="J9" s="32">
        <f>COUNTIF(G6:G17,"Achieved")</f>
        <v>0</v>
      </c>
    </row>
    <row r="10" spans="1:10" x14ac:dyDescent="0.35">
      <c r="A10" s="14"/>
      <c r="B10" s="47"/>
      <c r="C10" s="48"/>
      <c r="D10" s="34"/>
      <c r="E10" s="34"/>
      <c r="F10" s="36" t="str">
        <f t="shared" si="0"/>
        <v/>
      </c>
      <c r="G10" s="14"/>
      <c r="I10" s="41" t="s">
        <v>270</v>
      </c>
      <c r="J10" s="32">
        <f>COUNTIF(G6:G17,"Missed")</f>
        <v>0</v>
      </c>
    </row>
    <row r="11" spans="1:10" x14ac:dyDescent="0.35">
      <c r="A11" s="14"/>
      <c r="B11" s="47"/>
      <c r="C11" s="48"/>
      <c r="D11" s="34"/>
      <c r="E11" s="34"/>
      <c r="F11" s="36" t="str">
        <f t="shared" si="0"/>
        <v/>
      </c>
      <c r="G11" s="14"/>
      <c r="I11" s="41" t="s">
        <v>271</v>
      </c>
      <c r="J11" s="32">
        <f>COUNTIF(D22:D33,"Achieved")</f>
        <v>0</v>
      </c>
    </row>
    <row r="12" spans="1:10" x14ac:dyDescent="0.35">
      <c r="A12" s="14"/>
      <c r="B12" s="47"/>
      <c r="C12" s="48"/>
      <c r="D12" s="34"/>
      <c r="E12" s="34"/>
      <c r="F12" s="36" t="str">
        <f t="shared" si="0"/>
        <v/>
      </c>
      <c r="G12" s="14"/>
      <c r="I12" s="41" t="s">
        <v>272</v>
      </c>
      <c r="J12" s="32">
        <f>COUNTIF(D22:D33,"In progress")</f>
        <v>1</v>
      </c>
    </row>
    <row r="13" spans="1:10" x14ac:dyDescent="0.35">
      <c r="A13" s="14"/>
      <c r="B13" s="47"/>
      <c r="C13" s="48"/>
      <c r="D13" s="34"/>
      <c r="E13" s="34"/>
      <c r="F13" s="36" t="str">
        <f t="shared" si="0"/>
        <v/>
      </c>
      <c r="G13" s="14"/>
      <c r="I13" s="41" t="s">
        <v>273</v>
      </c>
      <c r="J13" s="32">
        <f>COUNTIF(E38:E77,"Enabler")</f>
        <v>1</v>
      </c>
    </row>
    <row r="14" spans="1:10" x14ac:dyDescent="0.35">
      <c r="A14" s="14"/>
      <c r="B14" s="47"/>
      <c r="C14" s="48"/>
      <c r="D14" s="34"/>
      <c r="E14" s="34"/>
      <c r="F14" s="36" t="str">
        <f t="shared" si="0"/>
        <v/>
      </c>
      <c r="G14" s="14"/>
      <c r="I14" s="41" t="s">
        <v>274</v>
      </c>
      <c r="J14" s="32">
        <f>COUNTIF(E38:E77,"Barrier")</f>
        <v>0</v>
      </c>
    </row>
    <row r="15" spans="1:10" x14ac:dyDescent="0.35">
      <c r="A15" s="14"/>
      <c r="B15" s="47"/>
      <c r="C15" s="48"/>
      <c r="D15" s="34"/>
      <c r="E15" s="34"/>
      <c r="F15" s="36" t="str">
        <f t="shared" si="0"/>
        <v/>
      </c>
      <c r="G15" s="14"/>
    </row>
    <row r="16" spans="1:10" x14ac:dyDescent="0.35">
      <c r="A16" s="14"/>
      <c r="B16" s="47"/>
      <c r="C16" s="48"/>
      <c r="D16" s="34"/>
      <c r="E16" s="34"/>
      <c r="F16" s="36" t="str">
        <f t="shared" si="0"/>
        <v/>
      </c>
      <c r="G16" s="14"/>
    </row>
    <row r="17" spans="1:7" x14ac:dyDescent="0.35">
      <c r="A17" s="14"/>
      <c r="B17" s="47"/>
      <c r="C17" s="48"/>
      <c r="D17" s="34"/>
      <c r="E17" s="34"/>
      <c r="F17" s="36" t="str">
        <f t="shared" si="0"/>
        <v/>
      </c>
      <c r="G17" s="14"/>
    </row>
    <row r="20" spans="1:7" x14ac:dyDescent="0.35">
      <c r="A20" s="39" t="s">
        <v>275</v>
      </c>
    </row>
    <row r="21" spans="1:7" ht="26" x14ac:dyDescent="0.35">
      <c r="A21" s="19" t="s">
        <v>276</v>
      </c>
      <c r="B21" s="19" t="s">
        <v>277</v>
      </c>
      <c r="C21" s="19" t="s">
        <v>278</v>
      </c>
      <c r="D21" s="19" t="s">
        <v>57</v>
      </c>
    </row>
    <row r="22" spans="1:7" x14ac:dyDescent="0.35">
      <c r="A22" s="14" t="s">
        <v>279</v>
      </c>
      <c r="B22" s="14" t="s">
        <v>280</v>
      </c>
      <c r="C22" s="48">
        <v>46568</v>
      </c>
      <c r="D22" s="14" t="s">
        <v>265</v>
      </c>
    </row>
    <row r="23" spans="1:7" x14ac:dyDescent="0.35">
      <c r="A23" s="14"/>
      <c r="B23" s="14"/>
      <c r="C23" s="48"/>
      <c r="D23" s="14"/>
    </row>
    <row r="24" spans="1:7" x14ac:dyDescent="0.35">
      <c r="A24" s="14"/>
      <c r="B24" s="14"/>
      <c r="C24" s="48"/>
      <c r="D24" s="14"/>
    </row>
    <row r="25" spans="1:7" x14ac:dyDescent="0.35">
      <c r="A25" s="14"/>
      <c r="B25" s="14"/>
      <c r="C25" s="48"/>
      <c r="D25" s="14"/>
    </row>
    <row r="26" spans="1:7" x14ac:dyDescent="0.35">
      <c r="A26" s="14"/>
      <c r="B26" s="14"/>
      <c r="C26" s="48"/>
      <c r="D26" s="14"/>
    </row>
    <row r="27" spans="1:7" x14ac:dyDescent="0.35">
      <c r="A27" s="14"/>
      <c r="B27" s="14"/>
      <c r="C27" s="48"/>
      <c r="D27" s="14"/>
    </row>
    <row r="28" spans="1:7" x14ac:dyDescent="0.35">
      <c r="A28" s="14"/>
      <c r="B28" s="14"/>
      <c r="C28" s="48"/>
      <c r="D28" s="14"/>
    </row>
    <row r="29" spans="1:7" x14ac:dyDescent="0.35">
      <c r="A29" s="14"/>
      <c r="B29" s="14"/>
      <c r="C29" s="48"/>
      <c r="D29" s="14"/>
    </row>
    <row r="30" spans="1:7" x14ac:dyDescent="0.35">
      <c r="A30" s="14"/>
      <c r="B30" s="14"/>
      <c r="C30" s="48"/>
      <c r="D30" s="14"/>
    </row>
    <row r="31" spans="1:7" x14ac:dyDescent="0.35">
      <c r="A31" s="14"/>
      <c r="B31" s="14"/>
      <c r="C31" s="48"/>
      <c r="D31" s="14"/>
    </row>
    <row r="32" spans="1:7" x14ac:dyDescent="0.35">
      <c r="A32" s="14"/>
      <c r="B32" s="14"/>
      <c r="C32" s="48"/>
      <c r="D32" s="14"/>
    </row>
    <row r="33" spans="1:6" x14ac:dyDescent="0.35">
      <c r="A33" s="14"/>
      <c r="B33" s="14"/>
      <c r="C33" s="48"/>
      <c r="D33" s="14"/>
    </row>
    <row r="36" spans="1:6" x14ac:dyDescent="0.35">
      <c r="A36" s="39" t="s">
        <v>281</v>
      </c>
    </row>
    <row r="37" spans="1:6" ht="26" x14ac:dyDescent="0.35">
      <c r="A37" s="19" t="s">
        <v>282</v>
      </c>
      <c r="B37" s="19" t="s">
        <v>283</v>
      </c>
      <c r="C37" s="19" t="s">
        <v>284</v>
      </c>
      <c r="D37" s="19" t="s">
        <v>285</v>
      </c>
      <c r="E37" s="19" t="s">
        <v>286</v>
      </c>
      <c r="F37" s="19" t="s">
        <v>287</v>
      </c>
    </row>
    <row r="38" spans="1:6" ht="25" x14ac:dyDescent="0.35">
      <c r="A38" s="38" t="s">
        <v>288</v>
      </c>
      <c r="B38" s="14" t="s">
        <v>289</v>
      </c>
      <c r="C38" s="48">
        <v>46461</v>
      </c>
      <c r="D38" s="14" t="s">
        <v>290</v>
      </c>
      <c r="E38" s="14" t="s">
        <v>291</v>
      </c>
      <c r="F38" s="14" t="s">
        <v>292</v>
      </c>
    </row>
    <row r="39" spans="1:6" x14ac:dyDescent="0.35">
      <c r="A39" s="38"/>
      <c r="B39" s="14"/>
      <c r="C39" s="48"/>
      <c r="D39" s="14"/>
      <c r="E39" s="14"/>
      <c r="F39" s="14"/>
    </row>
    <row r="40" spans="1:6" x14ac:dyDescent="0.35">
      <c r="A40" s="38"/>
      <c r="B40" s="14"/>
      <c r="C40" s="48"/>
      <c r="D40" s="14"/>
      <c r="E40" s="14"/>
      <c r="F40" s="14"/>
    </row>
    <row r="41" spans="1:6" x14ac:dyDescent="0.35">
      <c r="A41" s="38"/>
      <c r="B41" s="14"/>
      <c r="C41" s="48"/>
      <c r="D41" s="14"/>
      <c r="E41" s="14"/>
      <c r="F41" s="14"/>
    </row>
    <row r="42" spans="1:6" x14ac:dyDescent="0.35">
      <c r="A42" s="38"/>
      <c r="B42" s="14"/>
      <c r="C42" s="48"/>
      <c r="D42" s="14"/>
      <c r="E42" s="14"/>
      <c r="F42" s="14"/>
    </row>
    <row r="43" spans="1:6" x14ac:dyDescent="0.35">
      <c r="A43" s="38"/>
      <c r="B43" s="14"/>
      <c r="C43" s="48"/>
      <c r="D43" s="14"/>
      <c r="E43" s="14"/>
      <c r="F43" s="14"/>
    </row>
    <row r="44" spans="1:6" x14ac:dyDescent="0.35">
      <c r="A44" s="38"/>
      <c r="B44" s="14"/>
      <c r="C44" s="48"/>
      <c r="D44" s="14"/>
      <c r="E44" s="14"/>
      <c r="F44" s="14"/>
    </row>
    <row r="45" spans="1:6" x14ac:dyDescent="0.35">
      <c r="A45" s="38"/>
      <c r="B45" s="14"/>
      <c r="C45" s="48"/>
      <c r="D45" s="14"/>
      <c r="E45" s="14"/>
      <c r="F45" s="14"/>
    </row>
    <row r="46" spans="1:6" x14ac:dyDescent="0.35">
      <c r="A46" s="38"/>
      <c r="B46" s="14"/>
      <c r="C46" s="48"/>
      <c r="D46" s="14"/>
      <c r="E46" s="14"/>
      <c r="F46" s="14"/>
    </row>
    <row r="47" spans="1:6" x14ac:dyDescent="0.35">
      <c r="A47" s="38"/>
      <c r="B47" s="14"/>
      <c r="C47" s="48"/>
      <c r="D47" s="14"/>
      <c r="E47" s="14"/>
      <c r="F47" s="14"/>
    </row>
    <row r="48" spans="1:6" x14ac:dyDescent="0.35">
      <c r="A48" s="38"/>
      <c r="B48" s="14"/>
      <c r="C48" s="48"/>
      <c r="D48" s="14"/>
      <c r="E48" s="14"/>
      <c r="F48" s="14"/>
    </row>
    <row r="49" spans="1:6" x14ac:dyDescent="0.35">
      <c r="A49" s="38"/>
      <c r="B49" s="14"/>
      <c r="C49" s="48"/>
      <c r="D49" s="14"/>
      <c r="E49" s="14"/>
      <c r="F49" s="14"/>
    </row>
    <row r="50" spans="1:6" x14ac:dyDescent="0.35">
      <c r="A50" s="38"/>
      <c r="B50" s="14"/>
      <c r="C50" s="48"/>
      <c r="D50" s="14"/>
      <c r="E50" s="14"/>
      <c r="F50" s="14"/>
    </row>
    <row r="51" spans="1:6" x14ac:dyDescent="0.35">
      <c r="A51" s="38"/>
      <c r="B51" s="14"/>
      <c r="C51" s="48"/>
      <c r="D51" s="14"/>
      <c r="E51" s="14"/>
      <c r="F51" s="14"/>
    </row>
    <row r="52" spans="1:6" x14ac:dyDescent="0.35">
      <c r="A52" s="38"/>
      <c r="B52" s="14"/>
      <c r="C52" s="48"/>
      <c r="D52" s="14"/>
      <c r="E52" s="14"/>
      <c r="F52" s="14"/>
    </row>
    <row r="53" spans="1:6" x14ac:dyDescent="0.35">
      <c r="A53" s="38"/>
      <c r="B53" s="14"/>
      <c r="C53" s="48"/>
      <c r="D53" s="14"/>
      <c r="E53" s="14"/>
      <c r="F53" s="14"/>
    </row>
    <row r="54" spans="1:6" x14ac:dyDescent="0.35">
      <c r="A54" s="38"/>
      <c r="B54" s="14"/>
      <c r="C54" s="48"/>
      <c r="D54" s="14"/>
      <c r="E54" s="14"/>
      <c r="F54" s="14"/>
    </row>
    <row r="55" spans="1:6" x14ac:dyDescent="0.35">
      <c r="A55" s="38"/>
      <c r="B55" s="14"/>
      <c r="C55" s="48"/>
      <c r="D55" s="14"/>
      <c r="E55" s="14"/>
      <c r="F55" s="14"/>
    </row>
    <row r="56" spans="1:6" x14ac:dyDescent="0.35">
      <c r="A56" s="38"/>
      <c r="B56" s="14"/>
      <c r="C56" s="48"/>
      <c r="D56" s="14"/>
      <c r="E56" s="14"/>
      <c r="F56" s="14"/>
    </row>
    <row r="57" spans="1:6" x14ac:dyDescent="0.35">
      <c r="A57" s="38"/>
      <c r="B57" s="14"/>
      <c r="C57" s="48"/>
      <c r="D57" s="14"/>
      <c r="E57" s="14"/>
      <c r="F57" s="14"/>
    </row>
    <row r="58" spans="1:6" x14ac:dyDescent="0.35">
      <c r="A58" s="38"/>
      <c r="B58" s="14"/>
      <c r="C58" s="48"/>
      <c r="D58" s="14"/>
      <c r="E58" s="14"/>
      <c r="F58" s="14"/>
    </row>
    <row r="59" spans="1:6" x14ac:dyDescent="0.35">
      <c r="A59" s="38"/>
      <c r="B59" s="14"/>
      <c r="C59" s="48"/>
      <c r="D59" s="14"/>
      <c r="E59" s="14"/>
      <c r="F59" s="14"/>
    </row>
    <row r="60" spans="1:6" x14ac:dyDescent="0.35">
      <c r="A60" s="38"/>
      <c r="B60" s="14"/>
      <c r="C60" s="48"/>
      <c r="D60" s="14"/>
      <c r="E60" s="14"/>
      <c r="F60" s="14"/>
    </row>
    <row r="61" spans="1:6" x14ac:dyDescent="0.35">
      <c r="A61" s="38"/>
      <c r="B61" s="14"/>
      <c r="C61" s="48"/>
      <c r="D61" s="14"/>
      <c r="E61" s="14"/>
      <c r="F61" s="14"/>
    </row>
    <row r="62" spans="1:6" x14ac:dyDescent="0.35">
      <c r="A62" s="38"/>
      <c r="B62" s="14"/>
      <c r="C62" s="48"/>
      <c r="D62" s="14"/>
      <c r="E62" s="14"/>
      <c r="F62" s="14"/>
    </row>
    <row r="63" spans="1:6" x14ac:dyDescent="0.35">
      <c r="A63" s="38"/>
      <c r="B63" s="14"/>
      <c r="C63" s="48"/>
      <c r="D63" s="14"/>
      <c r="E63" s="14"/>
      <c r="F63" s="14"/>
    </row>
    <row r="64" spans="1:6" x14ac:dyDescent="0.35">
      <c r="A64" s="38"/>
      <c r="B64" s="14"/>
      <c r="C64" s="48"/>
      <c r="D64" s="14"/>
      <c r="E64" s="14"/>
      <c r="F64" s="14"/>
    </row>
    <row r="65" spans="1:6" x14ac:dyDescent="0.35">
      <c r="A65" s="38"/>
      <c r="B65" s="14"/>
      <c r="C65" s="48"/>
      <c r="D65" s="14"/>
      <c r="E65" s="14"/>
      <c r="F65" s="14"/>
    </row>
    <row r="66" spans="1:6" x14ac:dyDescent="0.35">
      <c r="A66" s="38"/>
      <c r="B66" s="14"/>
      <c r="C66" s="48"/>
      <c r="D66" s="14"/>
      <c r="E66" s="14"/>
      <c r="F66" s="14"/>
    </row>
    <row r="67" spans="1:6" x14ac:dyDescent="0.35">
      <c r="A67" s="38"/>
      <c r="B67" s="14"/>
      <c r="C67" s="48"/>
      <c r="D67" s="14"/>
      <c r="E67" s="14"/>
      <c r="F67" s="14"/>
    </row>
    <row r="68" spans="1:6" x14ac:dyDescent="0.35">
      <c r="A68" s="38"/>
      <c r="B68" s="14"/>
      <c r="C68" s="48"/>
      <c r="D68" s="14"/>
      <c r="E68" s="14"/>
      <c r="F68" s="14"/>
    </row>
    <row r="69" spans="1:6" x14ac:dyDescent="0.35">
      <c r="A69" s="38"/>
      <c r="B69" s="14"/>
      <c r="C69" s="48"/>
      <c r="D69" s="14"/>
      <c r="E69" s="14"/>
      <c r="F69" s="14"/>
    </row>
    <row r="70" spans="1:6" x14ac:dyDescent="0.35">
      <c r="A70" s="38"/>
      <c r="B70" s="14"/>
      <c r="C70" s="48"/>
      <c r="D70" s="14"/>
      <c r="E70" s="14"/>
      <c r="F70" s="14"/>
    </row>
    <row r="71" spans="1:6" x14ac:dyDescent="0.35">
      <c r="A71" s="38"/>
      <c r="B71" s="14"/>
      <c r="C71" s="48"/>
      <c r="D71" s="14"/>
      <c r="E71" s="14"/>
      <c r="F71" s="14"/>
    </row>
    <row r="72" spans="1:6" x14ac:dyDescent="0.35">
      <c r="A72" s="38"/>
      <c r="B72" s="14"/>
      <c r="C72" s="48"/>
      <c r="D72" s="14"/>
      <c r="E72" s="14"/>
      <c r="F72" s="14"/>
    </row>
    <row r="73" spans="1:6" x14ac:dyDescent="0.35">
      <c r="A73" s="38"/>
      <c r="B73" s="14"/>
      <c r="C73" s="48"/>
      <c r="D73" s="14"/>
      <c r="E73" s="14"/>
      <c r="F73" s="14"/>
    </row>
    <row r="74" spans="1:6" x14ac:dyDescent="0.35">
      <c r="A74" s="38"/>
      <c r="B74" s="14"/>
      <c r="C74" s="48"/>
      <c r="D74" s="14"/>
      <c r="E74" s="14"/>
      <c r="F74" s="14"/>
    </row>
    <row r="75" spans="1:6" x14ac:dyDescent="0.35">
      <c r="A75" s="38"/>
      <c r="B75" s="14"/>
      <c r="C75" s="48"/>
      <c r="D75" s="14"/>
      <c r="E75" s="14"/>
      <c r="F75" s="14"/>
    </row>
    <row r="76" spans="1:6" x14ac:dyDescent="0.35">
      <c r="A76" s="38"/>
      <c r="B76" s="14"/>
      <c r="C76" s="48"/>
      <c r="D76" s="14"/>
      <c r="E76" s="14"/>
      <c r="F76" s="14"/>
    </row>
    <row r="77" spans="1:6" x14ac:dyDescent="0.35">
      <c r="A77" s="38"/>
      <c r="B77" s="14"/>
      <c r="C77" s="48"/>
      <c r="D77" s="14"/>
      <c r="E77" s="14"/>
      <c r="F77" s="14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D00-000000000000}">
          <x14:formula1>
            <xm:f>Settings!$K$4:$K$7</xm:f>
          </x14:formula1>
          <x14:formula2>
            <xm:f>0</xm:f>
          </x14:formula2>
          <xm:sqref>G6:G17 D22:D33</xm:sqref>
        </x14:dataValidation>
        <x14:dataValidation type="list" allowBlank="1" xr:uid="{00000000-0002-0000-0D00-000001000000}">
          <x14:formula1>
            <xm:f>Settings!$L$4:$L$6</xm:f>
          </x14:formula1>
          <x14:formula2>
            <xm:f>0</xm:f>
          </x14:formula2>
          <xm:sqref>E38:E77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F7F7F"/>
  </sheetPr>
  <dimension ref="A1:L1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38" customWidth="1"/>
    <col min="3" max="4" width="46" customWidth="1"/>
    <col min="5" max="5" width="18" customWidth="1"/>
    <col min="6" max="6" width="22" customWidth="1"/>
    <col min="7" max="9" width="16" customWidth="1"/>
    <col min="10" max="11" width="13" customWidth="1"/>
    <col min="12" max="12" width="18" customWidth="1"/>
  </cols>
  <sheetData>
    <row r="1" spans="1:12" ht="18" x14ac:dyDescent="0.4">
      <c r="A1" s="8" t="s">
        <v>293</v>
      </c>
    </row>
    <row r="2" spans="1:12" x14ac:dyDescent="0.35">
      <c r="A2" s="9" t="s">
        <v>294</v>
      </c>
    </row>
    <row r="4" spans="1:12" ht="36" customHeight="1" x14ac:dyDescent="0.35">
      <c r="A4" s="19" t="s">
        <v>52</v>
      </c>
      <c r="B4" s="19" t="s">
        <v>53</v>
      </c>
      <c r="C4" s="19" t="s">
        <v>295</v>
      </c>
      <c r="D4" s="19" t="s">
        <v>296</v>
      </c>
      <c r="E4" s="19" t="s">
        <v>297</v>
      </c>
      <c r="F4" s="19" t="s">
        <v>298</v>
      </c>
      <c r="G4" s="19" t="s">
        <v>59</v>
      </c>
      <c r="H4" s="19" t="s">
        <v>299</v>
      </c>
      <c r="I4" s="19" t="s">
        <v>300</v>
      </c>
      <c r="J4" s="19" t="s">
        <v>301</v>
      </c>
      <c r="K4" s="19" t="s">
        <v>302</v>
      </c>
      <c r="L4" s="19" t="s">
        <v>303</v>
      </c>
    </row>
    <row r="5" spans="1:12" ht="78" customHeight="1" x14ac:dyDescent="0.35">
      <c r="A5" s="49" t="s">
        <v>60</v>
      </c>
      <c r="B5" s="49" t="s">
        <v>304</v>
      </c>
      <c r="C5" s="50" t="s">
        <v>305</v>
      </c>
      <c r="D5" s="50" t="s">
        <v>306</v>
      </c>
      <c r="E5" s="50" t="s">
        <v>307</v>
      </c>
      <c r="F5" s="50" t="s">
        <v>308</v>
      </c>
      <c r="G5" s="50" t="s">
        <v>63</v>
      </c>
      <c r="H5" s="50" t="s">
        <v>309</v>
      </c>
      <c r="I5" s="50" t="s">
        <v>310</v>
      </c>
      <c r="J5" s="50" t="s">
        <v>311</v>
      </c>
      <c r="K5" s="50" t="s">
        <v>312</v>
      </c>
      <c r="L5" s="51" t="s">
        <v>21</v>
      </c>
    </row>
    <row r="6" spans="1:12" ht="78" customHeight="1" x14ac:dyDescent="0.35">
      <c r="A6" s="52">
        <v>1</v>
      </c>
      <c r="B6" s="52" t="s">
        <v>313</v>
      </c>
      <c r="C6" s="53" t="s">
        <v>314</v>
      </c>
      <c r="D6" s="53" t="s">
        <v>315</v>
      </c>
      <c r="E6" s="53" t="s">
        <v>316</v>
      </c>
      <c r="F6" s="53" t="s">
        <v>317</v>
      </c>
      <c r="G6" s="53" t="s">
        <v>63</v>
      </c>
      <c r="H6" s="53" t="s">
        <v>309</v>
      </c>
      <c r="I6" s="53" t="s">
        <v>318</v>
      </c>
      <c r="J6" s="53" t="s">
        <v>319</v>
      </c>
      <c r="K6" s="53" t="s">
        <v>320</v>
      </c>
      <c r="L6" s="54" t="s">
        <v>66</v>
      </c>
    </row>
    <row r="7" spans="1:12" ht="78" customHeight="1" x14ac:dyDescent="0.35">
      <c r="A7" s="52">
        <v>2</v>
      </c>
      <c r="B7" s="52" t="s">
        <v>321</v>
      </c>
      <c r="C7" s="53" t="s">
        <v>322</v>
      </c>
      <c r="D7" s="53" t="s">
        <v>323</v>
      </c>
      <c r="E7" s="53" t="s">
        <v>324</v>
      </c>
      <c r="F7" s="53" t="s">
        <v>308</v>
      </c>
      <c r="G7" s="53" t="s">
        <v>71</v>
      </c>
      <c r="H7" s="53" t="s">
        <v>309</v>
      </c>
      <c r="I7" s="53" t="s">
        <v>325</v>
      </c>
      <c r="J7" s="53" t="s">
        <v>311</v>
      </c>
      <c r="K7" s="53" t="s">
        <v>326</v>
      </c>
      <c r="L7" s="54" t="s">
        <v>70</v>
      </c>
    </row>
    <row r="8" spans="1:12" ht="78" customHeight="1" x14ac:dyDescent="0.35">
      <c r="A8" s="52">
        <v>3</v>
      </c>
      <c r="B8" s="52" t="s">
        <v>327</v>
      </c>
      <c r="C8" s="53" t="s">
        <v>328</v>
      </c>
      <c r="D8" s="53" t="s">
        <v>329</v>
      </c>
      <c r="E8" s="53" t="s">
        <v>316</v>
      </c>
      <c r="F8" s="53" t="s">
        <v>330</v>
      </c>
      <c r="G8" s="53" t="s">
        <v>331</v>
      </c>
      <c r="H8" s="53" t="s">
        <v>332</v>
      </c>
      <c r="I8" s="53" t="s">
        <v>318</v>
      </c>
      <c r="J8" s="53" t="s">
        <v>319</v>
      </c>
      <c r="K8" s="53" t="s">
        <v>320</v>
      </c>
      <c r="L8" s="54" t="s">
        <v>74</v>
      </c>
    </row>
    <row r="9" spans="1:12" ht="78" customHeight="1" x14ac:dyDescent="0.35">
      <c r="A9" s="52">
        <v>4</v>
      </c>
      <c r="B9" s="52" t="s">
        <v>333</v>
      </c>
      <c r="C9" s="53" t="s">
        <v>334</v>
      </c>
      <c r="D9" s="53" t="s">
        <v>335</v>
      </c>
      <c r="E9" s="53" t="s">
        <v>316</v>
      </c>
      <c r="F9" s="53" t="s">
        <v>308</v>
      </c>
      <c r="G9" s="53" t="s">
        <v>78</v>
      </c>
      <c r="H9" s="53" t="s">
        <v>309</v>
      </c>
      <c r="I9" s="53" t="s">
        <v>325</v>
      </c>
      <c r="J9" s="53" t="s">
        <v>311</v>
      </c>
      <c r="K9" s="53" t="s">
        <v>320</v>
      </c>
      <c r="L9" s="54" t="s">
        <v>77</v>
      </c>
    </row>
    <row r="10" spans="1:12" ht="78" customHeight="1" x14ac:dyDescent="0.35">
      <c r="A10" s="52">
        <v>5</v>
      </c>
      <c r="B10" s="52" t="s">
        <v>336</v>
      </c>
      <c r="C10" s="53" t="s">
        <v>337</v>
      </c>
      <c r="D10" s="53" t="s">
        <v>338</v>
      </c>
      <c r="E10" s="53" t="s">
        <v>339</v>
      </c>
      <c r="F10" s="53" t="s">
        <v>330</v>
      </c>
      <c r="G10" s="53" t="s">
        <v>94</v>
      </c>
      <c r="H10" s="53" t="s">
        <v>340</v>
      </c>
      <c r="I10" s="53" t="s">
        <v>341</v>
      </c>
      <c r="J10" s="53" t="s">
        <v>319</v>
      </c>
      <c r="K10" s="53" t="s">
        <v>320</v>
      </c>
      <c r="L10" s="54" t="s">
        <v>81</v>
      </c>
    </row>
    <row r="11" spans="1:12" ht="78" customHeight="1" x14ac:dyDescent="0.35">
      <c r="A11" s="52">
        <v>6</v>
      </c>
      <c r="B11" s="52" t="s">
        <v>342</v>
      </c>
      <c r="C11" s="53" t="s">
        <v>343</v>
      </c>
      <c r="D11" s="53" t="s">
        <v>344</v>
      </c>
      <c r="E11" s="53" t="s">
        <v>316</v>
      </c>
      <c r="F11" s="53" t="s">
        <v>308</v>
      </c>
      <c r="G11" s="53" t="s">
        <v>71</v>
      </c>
      <c r="H11" s="53" t="s">
        <v>309</v>
      </c>
      <c r="I11" s="53" t="s">
        <v>325</v>
      </c>
      <c r="J11" s="53" t="s">
        <v>311</v>
      </c>
      <c r="K11" s="53" t="s">
        <v>320</v>
      </c>
      <c r="L11" s="54" t="s">
        <v>84</v>
      </c>
    </row>
    <row r="12" spans="1:12" ht="78" customHeight="1" x14ac:dyDescent="0.35">
      <c r="A12" s="52">
        <v>7</v>
      </c>
      <c r="B12" s="52" t="s">
        <v>345</v>
      </c>
      <c r="C12" s="53" t="s">
        <v>346</v>
      </c>
      <c r="D12" s="53" t="s">
        <v>347</v>
      </c>
      <c r="E12" s="53" t="s">
        <v>348</v>
      </c>
      <c r="F12" s="53" t="s">
        <v>349</v>
      </c>
      <c r="G12" s="53" t="s">
        <v>63</v>
      </c>
      <c r="H12" s="53" t="s">
        <v>309</v>
      </c>
      <c r="I12" s="53" t="s">
        <v>325</v>
      </c>
      <c r="J12" s="53" t="s">
        <v>319</v>
      </c>
      <c r="K12" s="53" t="s">
        <v>326</v>
      </c>
      <c r="L12" s="54" t="s">
        <v>87</v>
      </c>
    </row>
    <row r="13" spans="1:12" ht="78" customHeight="1" x14ac:dyDescent="0.35">
      <c r="A13" s="52">
        <v>8</v>
      </c>
      <c r="B13" s="52" t="s">
        <v>350</v>
      </c>
      <c r="C13" s="53" t="s">
        <v>351</v>
      </c>
      <c r="D13" s="53" t="s">
        <v>352</v>
      </c>
      <c r="E13" s="53" t="s">
        <v>353</v>
      </c>
      <c r="F13" s="53" t="s">
        <v>354</v>
      </c>
      <c r="G13" s="53" t="s">
        <v>94</v>
      </c>
      <c r="H13" s="53" t="s">
        <v>332</v>
      </c>
      <c r="I13" s="53" t="s">
        <v>341</v>
      </c>
      <c r="J13" s="53" t="s">
        <v>311</v>
      </c>
      <c r="K13" s="53" t="s">
        <v>320</v>
      </c>
      <c r="L13" s="54" t="s">
        <v>90</v>
      </c>
    </row>
    <row r="14" spans="1:12" ht="78" customHeight="1" x14ac:dyDescent="0.35">
      <c r="A14" s="52">
        <v>9</v>
      </c>
      <c r="B14" s="52" t="s">
        <v>355</v>
      </c>
      <c r="C14" s="53" t="s">
        <v>356</v>
      </c>
      <c r="D14" s="53" t="s">
        <v>357</v>
      </c>
      <c r="E14" s="53" t="s">
        <v>316</v>
      </c>
      <c r="F14" s="53" t="s">
        <v>308</v>
      </c>
      <c r="G14" s="53" t="s">
        <v>358</v>
      </c>
      <c r="H14" s="53" t="s">
        <v>309</v>
      </c>
      <c r="I14" s="53" t="s">
        <v>325</v>
      </c>
      <c r="J14" s="53" t="s">
        <v>311</v>
      </c>
      <c r="K14" s="53" t="s">
        <v>326</v>
      </c>
      <c r="L14" s="54" t="s">
        <v>93</v>
      </c>
    </row>
    <row r="15" spans="1:12" ht="78" customHeight="1" x14ac:dyDescent="0.35">
      <c r="A15" s="52">
        <v>10</v>
      </c>
      <c r="B15" s="52" t="s">
        <v>359</v>
      </c>
      <c r="C15" s="53" t="s">
        <v>360</v>
      </c>
      <c r="D15" s="53" t="s">
        <v>361</v>
      </c>
      <c r="E15" s="53" t="s">
        <v>316</v>
      </c>
      <c r="F15" s="53" t="s">
        <v>362</v>
      </c>
      <c r="G15" s="53" t="s">
        <v>63</v>
      </c>
      <c r="H15" s="53" t="s">
        <v>363</v>
      </c>
      <c r="I15" s="53" t="s">
        <v>325</v>
      </c>
      <c r="J15" s="53" t="s">
        <v>319</v>
      </c>
      <c r="K15" s="53" t="s">
        <v>320</v>
      </c>
      <c r="L15" s="54" t="s">
        <v>97</v>
      </c>
    </row>
    <row r="16" spans="1:12" ht="78" customHeight="1" x14ac:dyDescent="0.35">
      <c r="A16" s="52">
        <v>11</v>
      </c>
      <c r="B16" s="52" t="s">
        <v>364</v>
      </c>
      <c r="C16" s="53" t="s">
        <v>365</v>
      </c>
      <c r="D16" s="53" t="s">
        <v>366</v>
      </c>
      <c r="E16" s="53" t="s">
        <v>316</v>
      </c>
      <c r="F16" s="53" t="s">
        <v>367</v>
      </c>
      <c r="G16" s="53" t="s">
        <v>101</v>
      </c>
      <c r="H16" s="53" t="s">
        <v>368</v>
      </c>
      <c r="I16" s="53" t="s">
        <v>369</v>
      </c>
      <c r="J16" s="53" t="s">
        <v>370</v>
      </c>
      <c r="K16" s="53" t="s">
        <v>320</v>
      </c>
      <c r="L16" s="54" t="s">
        <v>100</v>
      </c>
    </row>
  </sheetData>
  <hyperlinks>
    <hyperlink ref="L5" r:id="rId1" location="'Headline'!A1" xr:uid="{00000000-0004-0000-0E00-000000000000}"/>
    <hyperlink ref="L6" r:id="rId2" location="'LQ1_Experience'!A1" xr:uid="{00000000-0004-0000-0E00-000001000000}"/>
    <hyperlink ref="L7" r:id="rId3" location="'LQ2_Funnel'!A1" xr:uid="{00000000-0004-0000-0E00-000002000000}"/>
    <hyperlink ref="L8" r:id="rId4" location="'LQ3_Satisfaction'!A1" xr:uid="{00000000-0004-0000-0E00-000003000000}"/>
    <hyperlink ref="L9" r:id="rId5" location="'LQ4_Unassisted'!A1" xr:uid="{00000000-0004-0000-0E00-000004000000}"/>
    <hyperlink ref="L10" r:id="rId6" location="'LQ5_Staffing'!A1" xr:uid="{00000000-0004-0000-0E00-000005000000}"/>
    <hyperlink ref="L11" r:id="rId7" location="'LQ6_Location'!A1" xr:uid="{00000000-0004-0000-0E00-000006000000}"/>
    <hyperlink ref="L12" r:id="rId8" location="'LQ7_Methods'!A1" xr:uid="{00000000-0004-0000-0E00-000007000000}"/>
    <hyperlink ref="L13" r:id="rId9" location="'LQ8_Cost'!A1" xr:uid="{00000000-0004-0000-0E00-000008000000}"/>
    <hyperlink ref="L14" r:id="rId10" location="'LQ9_SBC'!A1" xr:uid="{00000000-0004-0000-0E00-000009000000}"/>
    <hyperlink ref="L15" r:id="rId11" location="'LQ10_DHIS2'!A1" xr:uid="{00000000-0004-0000-0E00-00000A000000}"/>
    <hyperlink ref="L16" r:id="rId12" location="'LQ11_Sustain'!A1" xr:uid="{00000000-0004-0000-0E00-00000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F7F7F"/>
  </sheetPr>
  <dimension ref="A1:L16"/>
  <sheetViews>
    <sheetView showGridLines="0" zoomScaleNormal="100" workbookViewId="0"/>
  </sheetViews>
  <sheetFormatPr defaultColWidth="8.6328125" defaultRowHeight="14.5" x14ac:dyDescent="0.35"/>
  <cols>
    <col min="1" max="1" width="50" customWidth="1"/>
    <col min="2" max="2" width="14" customWidth="1"/>
    <col min="3" max="3" width="70" customWidth="1"/>
    <col min="4" max="4" width="3" customWidth="1"/>
    <col min="5" max="12" width="24" customWidth="1"/>
  </cols>
  <sheetData>
    <row r="1" spans="1:12" ht="18" x14ac:dyDescent="0.4">
      <c r="A1" s="8" t="s">
        <v>371</v>
      </c>
    </row>
    <row r="2" spans="1:12" x14ac:dyDescent="0.35">
      <c r="A2" s="9" t="s">
        <v>372</v>
      </c>
    </row>
    <row r="3" spans="1:12" x14ac:dyDescent="0.35">
      <c r="E3" s="55" t="s">
        <v>373</v>
      </c>
      <c r="F3" s="55" t="s">
        <v>374</v>
      </c>
      <c r="G3" s="55" t="s">
        <v>375</v>
      </c>
      <c r="H3" s="55" t="s">
        <v>376</v>
      </c>
      <c r="I3" s="55" t="s">
        <v>377</v>
      </c>
      <c r="J3" s="55" t="s">
        <v>190</v>
      </c>
      <c r="K3" s="55" t="s">
        <v>57</v>
      </c>
      <c r="L3" s="55" t="s">
        <v>378</v>
      </c>
    </row>
    <row r="4" spans="1:12" x14ac:dyDescent="0.35">
      <c r="A4" s="56" t="s">
        <v>379</v>
      </c>
      <c r="B4" s="57">
        <v>46327</v>
      </c>
      <c r="C4" t="s">
        <v>380</v>
      </c>
      <c r="E4" s="14" t="s">
        <v>381</v>
      </c>
      <c r="F4" s="14" t="s">
        <v>382</v>
      </c>
      <c r="G4" s="14" t="s">
        <v>383</v>
      </c>
      <c r="H4" s="14" t="s">
        <v>199</v>
      </c>
      <c r="I4" s="14" t="s">
        <v>214</v>
      </c>
      <c r="J4" s="14" t="s">
        <v>198</v>
      </c>
      <c r="K4" s="14" t="s">
        <v>384</v>
      </c>
      <c r="L4" s="14" t="s">
        <v>291</v>
      </c>
    </row>
    <row r="5" spans="1:12" x14ac:dyDescent="0.35">
      <c r="A5" s="56" t="s">
        <v>385</v>
      </c>
      <c r="B5" s="14" t="s">
        <v>386</v>
      </c>
      <c r="C5" t="s">
        <v>387</v>
      </c>
      <c r="E5" s="14" t="s">
        <v>213</v>
      </c>
      <c r="F5" s="14" t="s">
        <v>238</v>
      </c>
      <c r="G5" s="14" t="s">
        <v>239</v>
      </c>
      <c r="H5" s="14" t="s">
        <v>388</v>
      </c>
      <c r="I5" s="14" t="s">
        <v>389</v>
      </c>
      <c r="J5" s="14" t="s">
        <v>390</v>
      </c>
      <c r="K5" s="14" t="s">
        <v>265</v>
      </c>
      <c r="L5" s="14" t="s">
        <v>391</v>
      </c>
    </row>
    <row r="6" spans="1:12" x14ac:dyDescent="0.35">
      <c r="A6" s="19" t="s">
        <v>392</v>
      </c>
      <c r="B6" s="19" t="s">
        <v>393</v>
      </c>
      <c r="C6" s="19" t="s">
        <v>394</v>
      </c>
      <c r="E6" s="14" t="s">
        <v>395</v>
      </c>
      <c r="F6" s="14" t="s">
        <v>396</v>
      </c>
      <c r="G6" s="14" t="s">
        <v>397</v>
      </c>
      <c r="H6" s="14" t="s">
        <v>398</v>
      </c>
      <c r="I6" s="14" t="s">
        <v>399</v>
      </c>
      <c r="J6" s="14" t="s">
        <v>400</v>
      </c>
      <c r="K6" s="14" t="s">
        <v>401</v>
      </c>
      <c r="L6" s="14" t="s">
        <v>402</v>
      </c>
    </row>
    <row r="7" spans="1:12" x14ac:dyDescent="0.35">
      <c r="A7" s="15" t="s">
        <v>403</v>
      </c>
      <c r="B7" s="58">
        <v>0.6</v>
      </c>
      <c r="C7" s="17" t="s">
        <v>404</v>
      </c>
      <c r="E7" s="14" t="s">
        <v>405</v>
      </c>
      <c r="F7" s="14" t="s">
        <v>406</v>
      </c>
      <c r="G7" s="14" t="s">
        <v>407</v>
      </c>
      <c r="H7" s="14" t="s">
        <v>408</v>
      </c>
      <c r="I7" s="14" t="s">
        <v>409</v>
      </c>
      <c r="J7" s="14" t="s">
        <v>410</v>
      </c>
      <c r="K7" s="14" t="s">
        <v>411</v>
      </c>
    </row>
    <row r="8" spans="1:12" x14ac:dyDescent="0.35">
      <c r="A8" s="15" t="s">
        <v>412</v>
      </c>
      <c r="B8" s="37">
        <v>4</v>
      </c>
      <c r="C8" s="17" t="s">
        <v>413</v>
      </c>
      <c r="E8" s="14" t="s">
        <v>414</v>
      </c>
      <c r="F8" s="14" t="s">
        <v>415</v>
      </c>
      <c r="I8" s="14" t="s">
        <v>416</v>
      </c>
      <c r="J8" s="14" t="s">
        <v>417</v>
      </c>
    </row>
    <row r="9" spans="1:12" x14ac:dyDescent="0.35">
      <c r="A9" s="15" t="s">
        <v>418</v>
      </c>
      <c r="B9" s="37">
        <v>4</v>
      </c>
      <c r="C9" s="17" t="s">
        <v>413</v>
      </c>
      <c r="E9" s="14" t="s">
        <v>419</v>
      </c>
      <c r="F9" s="14" t="s">
        <v>420</v>
      </c>
      <c r="I9" s="14" t="s">
        <v>408</v>
      </c>
      <c r="J9" s="14" t="s">
        <v>421</v>
      </c>
    </row>
    <row r="10" spans="1:12" x14ac:dyDescent="0.35">
      <c r="A10" s="15" t="s">
        <v>422</v>
      </c>
      <c r="B10" s="43">
        <v>40</v>
      </c>
      <c r="C10" s="17" t="s">
        <v>413</v>
      </c>
      <c r="E10" s="14" t="s">
        <v>408</v>
      </c>
      <c r="F10" s="14" t="s">
        <v>423</v>
      </c>
      <c r="J10" s="14" t="s">
        <v>424</v>
      </c>
    </row>
    <row r="11" spans="1:12" x14ac:dyDescent="0.35">
      <c r="A11" s="15" t="s">
        <v>425</v>
      </c>
      <c r="B11" s="58">
        <v>0.3</v>
      </c>
      <c r="C11" s="17" t="s">
        <v>413</v>
      </c>
      <c r="J11" s="14" t="s">
        <v>426</v>
      </c>
    </row>
    <row r="12" spans="1:12" x14ac:dyDescent="0.35">
      <c r="A12" s="15" t="s">
        <v>427</v>
      </c>
      <c r="B12" s="58">
        <v>0.05</v>
      </c>
      <c r="C12" s="17" t="s">
        <v>413</v>
      </c>
      <c r="J12" s="14" t="s">
        <v>428</v>
      </c>
    </row>
    <row r="13" spans="1:12" x14ac:dyDescent="0.35">
      <c r="A13" s="15" t="s">
        <v>429</v>
      </c>
      <c r="B13" s="58">
        <v>0.95</v>
      </c>
      <c r="C13" s="17" t="s">
        <v>430</v>
      </c>
      <c r="J13" s="14" t="s">
        <v>431</v>
      </c>
    </row>
    <row r="14" spans="1:12" x14ac:dyDescent="0.35">
      <c r="A14" s="15" t="s">
        <v>432</v>
      </c>
      <c r="B14" s="43">
        <v>48</v>
      </c>
      <c r="C14" s="17" t="s">
        <v>433</v>
      </c>
    </row>
    <row r="15" spans="1:12" x14ac:dyDescent="0.35">
      <c r="A15" s="15" t="s">
        <v>434</v>
      </c>
      <c r="B15" s="37">
        <v>4</v>
      </c>
      <c r="C15" s="17" t="s">
        <v>435</v>
      </c>
    </row>
    <row r="16" spans="1:12" x14ac:dyDescent="0.35">
      <c r="A16" s="15" t="s">
        <v>436</v>
      </c>
      <c r="B16" s="58">
        <v>0.5</v>
      </c>
      <c r="C16" s="17" t="s">
        <v>437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Dashboard</vt:lpstr>
      <vt:lpstr>Headline</vt:lpstr>
      <vt:lpstr>LQ1_Experience</vt:lpstr>
      <vt:lpstr>LQ2_Funnel</vt:lpstr>
      <vt:lpstr>LQ3_Satisfaction</vt:lpstr>
      <vt:lpstr>LQ4_Unassisted</vt:lpstr>
      <vt:lpstr>LQ5_Staffing</vt:lpstr>
      <vt:lpstr>LQ6_Location</vt:lpstr>
      <vt:lpstr>LQ7_Methods</vt:lpstr>
      <vt:lpstr>LQ8_Cost</vt:lpstr>
      <vt:lpstr>LQ9_SBC</vt:lpstr>
      <vt:lpstr>LQ10_DHIS2</vt:lpstr>
      <vt:lpstr>LQ11_Sustain</vt:lpstr>
      <vt:lpstr>Register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Sunday Esemi</cp:lastModifiedBy>
  <cp:revision>1</cp:revision>
  <dcterms:created xsi:type="dcterms:W3CDTF">2026-10-02T12:15:22Z</dcterms:created>
  <dcterms:modified xsi:type="dcterms:W3CDTF">2026-10-02T15:28:12Z</dcterms:modified>
  <dc:language>en-US</dc:language>
</cp:coreProperties>
</file>